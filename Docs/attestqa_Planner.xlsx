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Releases" sheetId="2" state="visible" r:id="rId4"/>
    <sheet name="Settings" sheetId="3" state="visible" r:id="rId5"/>
    <sheet name="Work items" sheetId="4" state="visible" r:id="rId6"/>
    <sheet name="Daily log" sheetId="5" state="visible" r:id="rId7"/>
    <sheet name="Wee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<sst xmlns="http://schemas.openxmlformats.org/spreadsheetml/2006/main" count="235" uniqueCount="131">
  <si>
    <t xml:space="preserve">attestqa planner</t>
  </si>
  <si>
    <t xml:space="preserve">Source</t>
  </si>
  <si>
    <t xml:space="preserve">AQ-05 Implementation Plan and Release Schedule v1.3 (10 Oct 2026). Planned hours are estimates from that document.</t>
  </si>
  <si>
    <t xml:space="preserve">Capacity</t>
  </si>
  <si>
    <t xml:space="preserve">4–5 hours a day, 7 days a week, as stated by Vijay. Daily capacity is set once on the Settings sheet.</t>
  </si>
  <si>
    <t xml:space="preserve">What to fill in</t>
  </si>
  <si>
    <t xml:space="preserve">Only cells with blue text on a yellow background. Everything else is calculated.</t>
  </si>
  <si>
    <t xml:space="preserve">Daily log</t>
  </si>
  <si>
    <t xml:space="preserve">Each day: hours worked, the release it went to (filled automatically from the date), what you did, and whether the journal line was written.</t>
  </si>
  <si>
    <t xml:space="preserve">Work items</t>
  </si>
  <si>
    <t xml:space="preserve">When an item is done: actual hours and status. Status choices: Not started, In progress, Done, Moved.</t>
  </si>
  <si>
    <t xml:space="preserve">Releases</t>
  </si>
  <si>
    <t xml:space="preserve">Calculated: planned hours, hours logged in that cycle, capacity of the cycle, and the gap. Fill in the release status and the Zenodo DOI after release day.</t>
  </si>
  <si>
    <t xml:space="preserve">Weeks</t>
  </si>
  <si>
    <t xml:space="preserve">Calculated weekly totals against 31 hours, for a quick check every Sunday.</t>
  </si>
  <si>
    <t xml:space="preserve">Example daily entry</t>
  </si>
  <si>
    <t xml:space="preserve">Date 12 Oct 2026 · Hours 4.5 · What I did: 'Monorepo created; agentic-qa history imported with git subtree; f2771d4 resolves' · Journal: Yes</t>
  </si>
  <si>
    <t xml:space="preserve">Rule from AQ-05 §6</t>
  </si>
  <si>
    <t xml:space="preserve">A release ships on the 15th with whatever is finished and tested. Unfinished work items are marked Moved and added to the next release.</t>
  </si>
  <si>
    <t xml:space="preserve">Release</t>
  </si>
  <si>
    <t xml:space="preserve">Cycle starts</t>
  </si>
  <si>
    <t xml:space="preserve">Release date</t>
  </si>
  <si>
    <t xml:space="preserve">Headline</t>
  </si>
  <si>
    <t xml:space="preserve">Days in cycle</t>
  </si>
  <si>
    <t xml:space="preserve">Capacity h</t>
  </si>
  <si>
    <t xml:space="preserve">Planned work h</t>
  </si>
  <si>
    <t xml:space="preserve">Planned / capacity</t>
  </si>
  <si>
    <t xml:space="preserve">Hours logged</t>
  </si>
  <si>
    <t xml:space="preserve">Logged − planned</t>
  </si>
  <si>
    <t xml:space="preserve">Items done</t>
  </si>
  <si>
    <t xml:space="preserve">Items total</t>
  </si>
  <si>
    <t xml:space="preserve">Status</t>
  </si>
  <si>
    <t xml:space="preserve">Zenodo DOI</t>
  </si>
  <si>
    <t xml:space="preserve">v1.0.0</t>
  </si>
  <si>
    <t xml:space="preserve">Major: engine and CLI: Jira/ADO stories to governed tests, any company model</t>
  </si>
  <si>
    <t xml:space="preserve">Planned</t>
  </si>
  <si>
    <t xml:space="preserve">v1.1.0</t>
  </si>
  <si>
    <t xml:space="preserve">Company sign-in, healing suggestions, Selenium import</t>
  </si>
  <si>
    <t xml:space="preserve">v1.2.0</t>
  </si>
  <si>
    <t xml:space="preserve">First signed Windows app: Attest</t>
  </si>
  <si>
    <t xml:space="preserve">v1.3.0</t>
  </si>
  <si>
    <t xml:space="preserve">Requirements and Specify in the app</t>
  </si>
  <si>
    <t xml:space="preserve">v1.4.0</t>
  </si>
  <si>
    <t xml:space="preserve">Explore; web testing complete</t>
  </si>
  <si>
    <t xml:space="preserve">v2.0.0</t>
  </si>
  <si>
    <t xml:space="preserve">Major: API testing</t>
  </si>
  <si>
    <t xml:space="preserve">v2.1.0</t>
  </si>
  <si>
    <t xml:space="preserve">API Explore; contracts from traffic</t>
  </si>
  <si>
    <t xml:space="preserve">v3.0.0</t>
  </si>
  <si>
    <t xml:space="preserve">Major: web version of attestqa</t>
  </si>
  <si>
    <t xml:space="preserve">v3.1.0</t>
  </si>
  <si>
    <t xml:space="preserve">MCP and multi-user approvals</t>
  </si>
  <si>
    <t xml:space="preserve">v4.0.0</t>
  </si>
  <si>
    <t xml:space="preserve">Major: security testing</t>
  </si>
  <si>
    <t xml:space="preserve">v4.1.0</t>
  </si>
  <si>
    <t xml:space="preserve">Active scanning</t>
  </si>
  <si>
    <t xml:space="preserve">v5.0.0</t>
  </si>
  <si>
    <t xml:space="preserve">Major: ETL testing; all four types</t>
  </si>
  <si>
    <t xml:space="preserve">Total</t>
  </si>
  <si>
    <t xml:space="preserve">Planned / capacity turns red above the share set on Settings (85%).</t>
  </si>
  <si>
    <t xml:space="preserve">Setting</t>
  </si>
  <si>
    <t xml:space="preserve">Value</t>
  </si>
  <si>
    <t xml:space="preserve">Note</t>
  </si>
  <si>
    <t xml:space="preserve">Planned hours per day</t>
  </si>
  <si>
    <t xml:space="preserve">Stated by Vijay: 4–5 hours a day, 7 days a week</t>
  </si>
  <si>
    <t xml:space="preserve">Planned hours per week</t>
  </si>
  <si>
    <t xml:space="preserve">Calculated</t>
  </si>
  <si>
    <t xml:space="preserve">Share of capacity planned as work</t>
  </si>
  <si>
    <t xml:space="preserve">AQ-05 §1: about 115 of 135 hours a month; the rest is slack</t>
  </si>
  <si>
    <t xml:space="preserve">#</t>
  </si>
  <si>
    <t xml:space="preserve">Work item</t>
  </si>
  <si>
    <t xml:space="preserve">Planned h</t>
  </si>
  <si>
    <t xml:space="preserve">Actual h</t>
  </si>
  <si>
    <t xml:space="preserve">Done on</t>
  </si>
  <si>
    <t xml:space="preserve">Notes</t>
  </si>
  <si>
    <t xml:space="preserve">Monorepo set-up, subtree import of agentic-qa, research log live</t>
  </si>
  <si>
    <t xml:space="preserve">Not started</t>
  </si>
  <si>
    <t xml:space="preserve">Publish attestqa 1.1.0 and the compatibility shim from the old repository</t>
  </si>
  <si>
    <t xml:space="preserve">Engine 2.0: ledger additions, tool literal, replay tests over the Paper I corpus</t>
  </si>
  <si>
    <t xml:space="preserve">Provider conformance suite, TokenSource, registerProvider, gateway</t>
  </si>
  <si>
    <t xml:space="preserve">Tracker interface over the Azure DevOps MCP path; Jira adapter</t>
  </si>
  <si>
    <t xml:space="preserve">Coverage tags and aqa coverage; report completeness</t>
  </si>
  <si>
    <t xml:space="preserve">synthdata as a package; shared triage fixtures with pw-triage</t>
  </si>
  <si>
    <t xml:space="preserve">AWS Bedrock provider; Entra ID and AWS SSO token sources</t>
  </si>
  <si>
    <t xml:space="preserve">pw-self-heal in the heal role, suggest-only, with fixture test</t>
  </si>
  <si>
    <t xml:space="preserve">aqa import selenium through sel2pw</t>
  </si>
  <si>
    <t xml:space="preserve">Desktop groundwork: client interface, FakeClient, Electron skeleton</t>
  </si>
  <si>
    <t xml:space="preserve">Attest screen and approval dialog</t>
  </si>
  <si>
    <t xml:space="preserve">Worker process, credential vault, validated IPC</t>
  </si>
  <si>
    <t xml:space="preserve">Headed Chromium; ledger question box</t>
  </si>
  <si>
    <t xml:space="preserve">Renderer-secrets tests; code signing, installer, auto-update</t>
  </si>
  <si>
    <t xml:space="preserve">First-run flow, provider round-trip test, site login</t>
  </si>
  <si>
    <t xml:space="preserve">Requirements screen: ADO/Jira, query, coverage grid</t>
  </si>
  <si>
    <t xml:space="preserve">Specify screen via bdd2pw and pw-emit; user_edit events</t>
  </si>
  <si>
    <t xml:space="preserve">Selenium import entry in the app</t>
  </si>
  <si>
    <t xml:space="preserve">Web Explore: skill, refusal rules, site map, drafts, rulings</t>
  </si>
  <si>
    <t xml:space="preserve">App accessibility and end-to-end tests</t>
  </si>
  <si>
    <t xml:space="preserve">User guide and demo video</t>
  </si>
  <si>
    <t xml:space="preserve">pw-emit 1.4 with API, security and ETL nodes (pw-emit repo)</t>
  </si>
  <si>
    <t xml:space="preserve">api adapter, api_hosts scope, three API refusal rules</t>
  </si>
  <si>
    <t xml:space="preserve">API in Specify, Attest, coverage; type switch</t>
  </si>
  <si>
    <t xml:space="preserve">API targets onboarded; study S2 cross-model runs</t>
  </si>
  <si>
    <t xml:space="preserve">API Explore from OpenAPI or recorded traffic</t>
  </si>
  <si>
    <t xml:space="preserve">usagecontract as second API oracle</t>
  </si>
  <si>
    <t xml:space="preserve">Study S3 cross-site runs; hardening</t>
  </si>
  <si>
    <t xml:space="preserve">@attestqa/server REST + live updates; HttpClient</t>
  </si>
  <si>
    <t xml:space="preserve">OIDC sign-in and roles</t>
  </si>
  <si>
    <t xml:space="preserve">Run queue and container workers</t>
  </si>
  <si>
    <t xml:space="preserve">MCP endpoint (run_story, run_status, resources)</t>
  </si>
  <si>
    <t xml:space="preserve">Container image and deployment guide</t>
  </si>
  <si>
    <t xml:space="preserve">Multi-user approvals; server security review</t>
  </si>
  <si>
    <t xml:space="preserve">Passive security checks in Playwright</t>
  </si>
  <si>
    <t xml:space="preserve">adapter-zap: passive scan and spider</t>
  </si>
  <si>
    <t xml:space="preserve">ASVS mapping; three security refusal rules; UI</t>
  </si>
  <si>
    <t xml:space="preserve">Active scan behind authorisation; ZAP findings as results; S4 security</t>
  </si>
  <si>
    <t xml:space="preserve">adapter-sql: read-only parser and connections (ships in v5.0.0)</t>
  </si>
  <si>
    <t xml:space="preserve">Hardening</t>
  </si>
  <si>
    <t xml:space="preserve">Mapping format; ETL Explore; three ETL refusal rules</t>
  </si>
  <si>
    <t xml:space="preserve">Reference load with synthdata and seeded faults</t>
  </si>
  <si>
    <t xml:space="preserve">ETL in the app; S4 ETL runs</t>
  </si>
  <si>
    <t xml:space="preserve">First-year review and year-two roadmap</t>
  </si>
  <si>
    <t xml:space="preserve">Date</t>
  </si>
  <si>
    <t xml:space="preserve">Day</t>
  </si>
  <si>
    <t xml:space="preserve">Release cycle</t>
  </si>
  <si>
    <t xml:space="preserve">Hours</t>
  </si>
  <si>
    <t xml:space="preserve">What I did</t>
  </si>
  <si>
    <t xml:space="preserve">Journal written?</t>
  </si>
  <si>
    <t xml:space="preserve">Week starting (Mon)</t>
  </si>
  <si>
    <t xml:space="preserve">Week ending</t>
  </si>
  <si>
    <t xml:space="preserve">Logged h</t>
  </si>
  <si>
    <t xml:space="preserve">Gap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</si>
</sst>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"/>
    <numFmt numFmtId="167" formatCode="0%"/>
    <numFmt numFmtId="168" formatCode="0;\-0;\-"/>
    <numFmt numFmtId="169" formatCode="#,##0"/>
    <numFmt numFmtId="170" formatCode="0.0"/>
    <numFmt numFmtId="171" formatCode="0.0;\-0.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748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130"/>
        <bgColor rgb="FF333300"/>
      </patternFill>
    </fill>
    <fill>
      <patternFill patternType="solid">
        <fgColor rgb="FFFFF2CC"/>
        <bgColor rgb="FFFD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DE8E6"/>
        </patternFill>
      </fill>
    </dxf>
    <dxf>
      <fill>
        <patternFill>
          <bgColor rgb="FFE4F5EA"/>
        </patternFill>
      </fill>
    </dxf>
    <dxf>
      <fill>
        <patternFill>
          <bgColor rgb="FFEEF2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4F5EA"/>
      <rgbColor rgb="FF660066"/>
      <rgbColor rgb="FFFF8080"/>
      <rgbColor rgb="FF0066CC"/>
      <rgbColor rgb="FFD5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D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1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26.8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26.85" hidden="false" customHeight="false" outlineLevel="0" collapsed="false">
      <c r="A5" s="3" t="s">
        <v>7</v>
      </c>
      <c r="B5" s="2" t="s">
        <v>8</v>
      </c>
    </row>
    <row r="6" customFormat="false" ht="26.85" hidden="false" customHeight="false" outlineLevel="0" collapsed="false">
      <c r="A6" s="3" t="s">
        <v>9</v>
      </c>
      <c r="B6" s="2" t="s">
        <v>10</v>
      </c>
    </row>
    <row r="7" customFormat="false" ht="26.85" hidden="false" customHeight="false" outlineLevel="0" collapsed="false">
      <c r="A7" s="3" t="s">
        <v>11</v>
      </c>
      <c r="B7" s="2" t="s">
        <v>12</v>
      </c>
    </row>
    <row r="8" customFormat="false" ht="15" hidden="false" customHeight="false" outlineLevel="0" collapsed="false">
      <c r="A8" s="3" t="s">
        <v>13</v>
      </c>
      <c r="B8" s="2" t="s">
        <v>14</v>
      </c>
    </row>
    <row r="9" customFormat="false" ht="26.85" hidden="false" customHeight="false" outlineLevel="0" collapsed="false">
      <c r="A9" s="3" t="s">
        <v>15</v>
      </c>
      <c r="B9" s="2" t="s">
        <v>16</v>
      </c>
    </row>
    <row r="10" customFormat="false" ht="26.85" hidden="false" customHeight="false" outlineLevel="0" collapsed="false">
      <c r="A10" s="3" t="s">
        <v>17</v>
      </c>
      <c r="B10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5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26.8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</row>
    <row r="2" customFormat="false" ht="26.85" hidden="false" customHeight="false" outlineLevel="0" collapsed="false">
      <c r="A2" s="5" t="s">
        <v>33</v>
      </c>
      <c r="B2" s="6" t="n">
        <v>46307</v>
      </c>
      <c r="C2" s="6" t="n">
        <v>46341</v>
      </c>
      <c r="D2" s="5" t="s">
        <v>34</v>
      </c>
      <c r="E2" s="5" t="n">
        <f aca="false">C2-B2+1</f>
        <v>35</v>
      </c>
      <c r="F2" s="7" t="n">
        <f aca="false">E2*Settings!$B$2</f>
        <v>157.5</v>
      </c>
      <c r="G2" s="5" t="n">
        <f aca="false">SUMIFS('Work items'!$D$2:$D$46,'Work items'!$A$2:$A$46,A2)</f>
        <v>138</v>
      </c>
      <c r="H2" s="8" t="n">
        <f aca="false">IF(F2=0,0,G2/F2)</f>
        <v>0.876190476190476</v>
      </c>
      <c r="I2" s="5" t="n">
        <f aca="false">SUMIFS('Daily log'!$D$2:$D$370,'Daily log'!$C$2:$C$370,A2)</f>
        <v>0</v>
      </c>
      <c r="J2" s="9" t="n">
        <f aca="false">I2-G2</f>
        <v>-138</v>
      </c>
      <c r="K2" s="5" t="n">
        <f aca="false">COUNTIFS('Work items'!$A$2:$A$46,A2,'Work items'!$F$2:$F$46,"Done")</f>
        <v>0</v>
      </c>
      <c r="L2" s="5" t="n">
        <f aca="false">COUNTIFS('Work items'!$A$2:$A$46,A2)</f>
        <v>7</v>
      </c>
      <c r="M2" s="10" t="s">
        <v>35</v>
      </c>
      <c r="N2" s="10"/>
    </row>
    <row r="3" customFormat="false" ht="15" hidden="false" customHeight="false" outlineLevel="0" collapsed="false">
      <c r="A3" s="5" t="s">
        <v>36</v>
      </c>
      <c r="B3" s="6" t="n">
        <v>46342</v>
      </c>
      <c r="C3" s="6" t="n">
        <v>46371</v>
      </c>
      <c r="D3" s="5" t="s">
        <v>37</v>
      </c>
      <c r="E3" s="5" t="n">
        <f aca="false">C3-B3+1</f>
        <v>30</v>
      </c>
      <c r="F3" s="7" t="n">
        <f aca="false">E3*Settings!$B$2</f>
        <v>135</v>
      </c>
      <c r="G3" s="5" t="n">
        <f aca="false">SUMIFS('Work items'!$D$2:$D$46,'Work items'!$A$2:$A$46,A3)</f>
        <v>114</v>
      </c>
      <c r="H3" s="8" t="n">
        <f aca="false">IF(F3=0,0,G3/F3)</f>
        <v>0.844444444444444</v>
      </c>
      <c r="I3" s="5" t="n">
        <f aca="false">SUMIFS('Daily log'!$D$2:$D$370,'Daily log'!$C$2:$C$370,A3)</f>
        <v>0</v>
      </c>
      <c r="J3" s="9" t="n">
        <f aca="false">I3-G3</f>
        <v>-114</v>
      </c>
      <c r="K3" s="5" t="n">
        <f aca="false">COUNTIFS('Work items'!$A$2:$A$46,A3,'Work items'!$F$2:$F$46,"Done")</f>
        <v>0</v>
      </c>
      <c r="L3" s="5" t="n">
        <f aca="false">COUNTIFS('Work items'!$A$2:$A$46,A3)</f>
        <v>4</v>
      </c>
      <c r="M3" s="10" t="s">
        <v>35</v>
      </c>
      <c r="N3" s="10"/>
    </row>
    <row r="4" customFormat="false" ht="15" hidden="false" customHeight="false" outlineLevel="0" collapsed="false">
      <c r="A4" s="5" t="s">
        <v>38</v>
      </c>
      <c r="B4" s="6" t="n">
        <v>46372</v>
      </c>
      <c r="C4" s="6" t="n">
        <v>46402</v>
      </c>
      <c r="D4" s="5" t="s">
        <v>39</v>
      </c>
      <c r="E4" s="5" t="n">
        <f aca="false">C4-B4+1</f>
        <v>31</v>
      </c>
      <c r="F4" s="7" t="n">
        <f aca="false">E4*Settings!$B$2</f>
        <v>139.5</v>
      </c>
      <c r="G4" s="5" t="n">
        <f aca="false">SUMIFS('Work items'!$D$2:$D$46,'Work items'!$A$2:$A$46,A4)</f>
        <v>125</v>
      </c>
      <c r="H4" s="8" t="n">
        <f aca="false">IF(F4=0,0,G4/F4)</f>
        <v>0.896057347670251</v>
      </c>
      <c r="I4" s="5" t="n">
        <f aca="false">SUMIFS('Daily log'!$D$2:$D$370,'Daily log'!$C$2:$C$370,A4)</f>
        <v>0</v>
      </c>
      <c r="J4" s="9" t="n">
        <f aca="false">I4-G4</f>
        <v>-125</v>
      </c>
      <c r="K4" s="5" t="n">
        <f aca="false">COUNTIFS('Work items'!$A$2:$A$46,A4,'Work items'!$F$2:$F$46,"Done")</f>
        <v>0</v>
      </c>
      <c r="L4" s="5" t="n">
        <f aca="false">COUNTIFS('Work items'!$A$2:$A$46,A4)</f>
        <v>4</v>
      </c>
      <c r="M4" s="10" t="s">
        <v>35</v>
      </c>
      <c r="N4" s="10"/>
    </row>
    <row r="5" customFormat="false" ht="15" hidden="false" customHeight="false" outlineLevel="0" collapsed="false">
      <c r="A5" s="5" t="s">
        <v>40</v>
      </c>
      <c r="B5" s="6" t="n">
        <v>46403</v>
      </c>
      <c r="C5" s="6" t="n">
        <v>46433</v>
      </c>
      <c r="D5" s="5" t="s">
        <v>41</v>
      </c>
      <c r="E5" s="5" t="n">
        <f aca="false">C5-B5+1</f>
        <v>31</v>
      </c>
      <c r="F5" s="7" t="n">
        <f aca="false">E5*Settings!$B$2</f>
        <v>139.5</v>
      </c>
      <c r="G5" s="5" t="n">
        <f aca="false">SUMIFS('Work items'!$D$2:$D$46,'Work items'!$A$2:$A$46,A5)</f>
        <v>120</v>
      </c>
      <c r="H5" s="8" t="n">
        <f aca="false">IF(F5=0,0,G5/F5)</f>
        <v>0.860215053763441</v>
      </c>
      <c r="I5" s="5" t="n">
        <f aca="false">SUMIFS('Daily log'!$D$2:$D$370,'Daily log'!$C$2:$C$370,A5)</f>
        <v>0</v>
      </c>
      <c r="J5" s="9" t="n">
        <f aca="false">I5-G5</f>
        <v>-120</v>
      </c>
      <c r="K5" s="5" t="n">
        <f aca="false">COUNTIFS('Work items'!$A$2:$A$46,A5,'Work items'!$F$2:$F$46,"Done")</f>
        <v>0</v>
      </c>
      <c r="L5" s="5" t="n">
        <f aca="false">COUNTIFS('Work items'!$A$2:$A$46,A5)</f>
        <v>4</v>
      </c>
      <c r="M5" s="10" t="s">
        <v>35</v>
      </c>
      <c r="N5" s="10"/>
    </row>
    <row r="6" customFormat="false" ht="15" hidden="false" customHeight="false" outlineLevel="0" collapsed="false">
      <c r="A6" s="5" t="s">
        <v>42</v>
      </c>
      <c r="B6" s="6" t="n">
        <v>46434</v>
      </c>
      <c r="C6" s="6" t="n">
        <v>46461</v>
      </c>
      <c r="D6" s="5" t="s">
        <v>43</v>
      </c>
      <c r="E6" s="5" t="n">
        <f aca="false">C6-B6+1</f>
        <v>28</v>
      </c>
      <c r="F6" s="7" t="n">
        <f aca="false">E6*Settings!$B$2</f>
        <v>126</v>
      </c>
      <c r="G6" s="5" t="n">
        <f aca="false">SUMIFS('Work items'!$D$2:$D$46,'Work items'!$A$2:$A$46,A6)</f>
        <v>115</v>
      </c>
      <c r="H6" s="8" t="n">
        <f aca="false">IF(F6=0,0,G6/F6)</f>
        <v>0.912698412698413</v>
      </c>
      <c r="I6" s="5" t="n">
        <f aca="false">SUMIFS('Daily log'!$D$2:$D$370,'Daily log'!$C$2:$C$370,A6)</f>
        <v>0</v>
      </c>
      <c r="J6" s="9" t="n">
        <f aca="false">I6-G6</f>
        <v>-115</v>
      </c>
      <c r="K6" s="5" t="n">
        <f aca="false">COUNTIFS('Work items'!$A$2:$A$46,A6,'Work items'!$F$2:$F$46,"Done")</f>
        <v>0</v>
      </c>
      <c r="L6" s="5" t="n">
        <f aca="false">COUNTIFS('Work items'!$A$2:$A$46,A6)</f>
        <v>3</v>
      </c>
      <c r="M6" s="10" t="s">
        <v>35</v>
      </c>
      <c r="N6" s="10"/>
    </row>
    <row r="7" customFormat="false" ht="15" hidden="false" customHeight="false" outlineLevel="0" collapsed="false">
      <c r="A7" s="5" t="s">
        <v>44</v>
      </c>
      <c r="B7" s="6" t="n">
        <v>46462</v>
      </c>
      <c r="C7" s="6" t="n">
        <v>46492</v>
      </c>
      <c r="D7" s="5" t="s">
        <v>45</v>
      </c>
      <c r="E7" s="5" t="n">
        <f aca="false">C7-B7+1</f>
        <v>31</v>
      </c>
      <c r="F7" s="7" t="n">
        <f aca="false">E7*Settings!$B$2</f>
        <v>139.5</v>
      </c>
      <c r="G7" s="5" t="n">
        <f aca="false">SUMIFS('Work items'!$D$2:$D$46,'Work items'!$A$2:$A$46,A7)</f>
        <v>110</v>
      </c>
      <c r="H7" s="8" t="n">
        <f aca="false">IF(F7=0,0,G7/F7)</f>
        <v>0.788530465949821</v>
      </c>
      <c r="I7" s="5" t="n">
        <f aca="false">SUMIFS('Daily log'!$D$2:$D$370,'Daily log'!$C$2:$C$370,A7)</f>
        <v>0</v>
      </c>
      <c r="J7" s="9" t="n">
        <f aca="false">I7-G7</f>
        <v>-110</v>
      </c>
      <c r="K7" s="5" t="n">
        <f aca="false">COUNTIFS('Work items'!$A$2:$A$46,A7,'Work items'!$F$2:$F$46,"Done")</f>
        <v>0</v>
      </c>
      <c r="L7" s="5" t="n">
        <f aca="false">COUNTIFS('Work items'!$A$2:$A$46,A7)</f>
        <v>4</v>
      </c>
      <c r="M7" s="10" t="s">
        <v>35</v>
      </c>
      <c r="N7" s="10"/>
    </row>
    <row r="8" customFormat="false" ht="15" hidden="false" customHeight="false" outlineLevel="0" collapsed="false">
      <c r="A8" s="5" t="s">
        <v>46</v>
      </c>
      <c r="B8" s="6" t="n">
        <v>46493</v>
      </c>
      <c r="C8" s="6" t="n">
        <v>46522</v>
      </c>
      <c r="D8" s="5" t="s">
        <v>47</v>
      </c>
      <c r="E8" s="5" t="n">
        <f aca="false">C8-B8+1</f>
        <v>30</v>
      </c>
      <c r="F8" s="7" t="n">
        <f aca="false">E8*Settings!$B$2</f>
        <v>135</v>
      </c>
      <c r="G8" s="5" t="n">
        <f aca="false">SUMIFS('Work items'!$D$2:$D$46,'Work items'!$A$2:$A$46,A8)</f>
        <v>100</v>
      </c>
      <c r="H8" s="8" t="n">
        <f aca="false">IF(F8=0,0,G8/F8)</f>
        <v>0.740740740740741</v>
      </c>
      <c r="I8" s="5" t="n">
        <f aca="false">SUMIFS('Daily log'!$D$2:$D$370,'Daily log'!$C$2:$C$370,A8)</f>
        <v>0</v>
      </c>
      <c r="J8" s="9" t="n">
        <f aca="false">I8-G8</f>
        <v>-100</v>
      </c>
      <c r="K8" s="5" t="n">
        <f aca="false">COUNTIFS('Work items'!$A$2:$A$46,A8,'Work items'!$F$2:$F$46,"Done")</f>
        <v>0</v>
      </c>
      <c r="L8" s="5" t="n">
        <f aca="false">COUNTIFS('Work items'!$A$2:$A$46,A8)</f>
        <v>3</v>
      </c>
      <c r="M8" s="10" t="s">
        <v>35</v>
      </c>
      <c r="N8" s="10"/>
    </row>
    <row r="9" customFormat="false" ht="15" hidden="false" customHeight="false" outlineLevel="0" collapsed="false">
      <c r="A9" s="5" t="s">
        <v>48</v>
      </c>
      <c r="B9" s="6" t="n">
        <v>46523</v>
      </c>
      <c r="C9" s="6" t="n">
        <v>46553</v>
      </c>
      <c r="D9" s="5" t="s">
        <v>49</v>
      </c>
      <c r="E9" s="5" t="n">
        <f aca="false">C9-B9+1</f>
        <v>31</v>
      </c>
      <c r="F9" s="7" t="n">
        <f aca="false">E9*Settings!$B$2</f>
        <v>139.5</v>
      </c>
      <c r="G9" s="5" t="n">
        <f aca="false">SUMIFS('Work items'!$D$2:$D$46,'Work items'!$A$2:$A$46,A9)</f>
        <v>105</v>
      </c>
      <c r="H9" s="8" t="n">
        <f aca="false">IF(F9=0,0,G9/F9)</f>
        <v>0.752688172043011</v>
      </c>
      <c r="I9" s="5" t="n">
        <f aca="false">SUMIFS('Daily log'!$D$2:$D$370,'Daily log'!$C$2:$C$370,A9)</f>
        <v>0</v>
      </c>
      <c r="J9" s="9" t="n">
        <f aca="false">I9-G9</f>
        <v>-105</v>
      </c>
      <c r="K9" s="5" t="n">
        <f aca="false">COUNTIFS('Work items'!$A$2:$A$46,A9,'Work items'!$F$2:$F$46,"Done")</f>
        <v>0</v>
      </c>
      <c r="L9" s="5" t="n">
        <f aca="false">COUNTIFS('Work items'!$A$2:$A$46,A9)</f>
        <v>3</v>
      </c>
      <c r="M9" s="10" t="s">
        <v>35</v>
      </c>
      <c r="N9" s="10"/>
    </row>
    <row r="10" customFormat="false" ht="15" hidden="false" customHeight="false" outlineLevel="0" collapsed="false">
      <c r="A10" s="5" t="s">
        <v>50</v>
      </c>
      <c r="B10" s="6" t="n">
        <v>46554</v>
      </c>
      <c r="C10" s="6" t="n">
        <v>46583</v>
      </c>
      <c r="D10" s="5" t="s">
        <v>51</v>
      </c>
      <c r="E10" s="5" t="n">
        <f aca="false">C10-B10+1</f>
        <v>30</v>
      </c>
      <c r="F10" s="7" t="n">
        <f aca="false">E10*Settings!$B$2</f>
        <v>135</v>
      </c>
      <c r="G10" s="5" t="n">
        <f aca="false">SUMIFS('Work items'!$D$2:$D$46,'Work items'!$A$2:$A$46,A10)</f>
        <v>100</v>
      </c>
      <c r="H10" s="8" t="n">
        <f aca="false">IF(F10=0,0,G10/F10)</f>
        <v>0.740740740740741</v>
      </c>
      <c r="I10" s="5" t="n">
        <f aca="false">SUMIFS('Daily log'!$D$2:$D$370,'Daily log'!$C$2:$C$370,A10)</f>
        <v>0</v>
      </c>
      <c r="J10" s="9" t="n">
        <f aca="false">I10-G10</f>
        <v>-100</v>
      </c>
      <c r="K10" s="5" t="n">
        <f aca="false">COUNTIFS('Work items'!$A$2:$A$46,A10,'Work items'!$F$2:$F$46,"Done")</f>
        <v>0</v>
      </c>
      <c r="L10" s="5" t="n">
        <f aca="false">COUNTIFS('Work items'!$A$2:$A$46,A10)</f>
        <v>3</v>
      </c>
      <c r="M10" s="10" t="s">
        <v>35</v>
      </c>
      <c r="N10" s="10"/>
    </row>
    <row r="11" customFormat="false" ht="15" hidden="false" customHeight="false" outlineLevel="0" collapsed="false">
      <c r="A11" s="5" t="s">
        <v>52</v>
      </c>
      <c r="B11" s="6" t="n">
        <v>46584</v>
      </c>
      <c r="C11" s="6" t="n">
        <v>46614</v>
      </c>
      <c r="D11" s="5" t="s">
        <v>53</v>
      </c>
      <c r="E11" s="5" t="n">
        <f aca="false">C11-B11+1</f>
        <v>31</v>
      </c>
      <c r="F11" s="7" t="n">
        <f aca="false">E11*Settings!$B$2</f>
        <v>139.5</v>
      </c>
      <c r="G11" s="5" t="n">
        <f aca="false">SUMIFS('Work items'!$D$2:$D$46,'Work items'!$A$2:$A$46,A11)</f>
        <v>105</v>
      </c>
      <c r="H11" s="8" t="n">
        <f aca="false">IF(F11=0,0,G11/F11)</f>
        <v>0.752688172043011</v>
      </c>
      <c r="I11" s="5" t="n">
        <f aca="false">SUMIFS('Daily log'!$D$2:$D$370,'Daily log'!$C$2:$C$370,A11)</f>
        <v>0</v>
      </c>
      <c r="J11" s="9" t="n">
        <f aca="false">I11-G11</f>
        <v>-105</v>
      </c>
      <c r="K11" s="5" t="n">
        <f aca="false">COUNTIFS('Work items'!$A$2:$A$46,A11,'Work items'!$F$2:$F$46,"Done")</f>
        <v>0</v>
      </c>
      <c r="L11" s="5" t="n">
        <f aca="false">COUNTIFS('Work items'!$A$2:$A$46,A11)</f>
        <v>3</v>
      </c>
      <c r="M11" s="10" t="s">
        <v>35</v>
      </c>
      <c r="N11" s="10"/>
    </row>
    <row r="12" customFormat="false" ht="15" hidden="false" customHeight="false" outlineLevel="0" collapsed="false">
      <c r="A12" s="5" t="s">
        <v>54</v>
      </c>
      <c r="B12" s="6" t="n">
        <v>46615</v>
      </c>
      <c r="C12" s="6" t="n">
        <v>46645</v>
      </c>
      <c r="D12" s="5" t="s">
        <v>55</v>
      </c>
      <c r="E12" s="5" t="n">
        <f aca="false">C12-B12+1</f>
        <v>31</v>
      </c>
      <c r="F12" s="7" t="n">
        <f aca="false">E12*Settings!$B$2</f>
        <v>139.5</v>
      </c>
      <c r="G12" s="5" t="n">
        <f aca="false">SUMIFS('Work items'!$D$2:$D$46,'Work items'!$A$2:$A$46,A12)</f>
        <v>110</v>
      </c>
      <c r="H12" s="8" t="n">
        <f aca="false">IF(F12=0,0,G12/F12)</f>
        <v>0.788530465949821</v>
      </c>
      <c r="I12" s="5" t="n">
        <f aca="false">SUMIFS('Daily log'!$D$2:$D$370,'Daily log'!$C$2:$C$370,A12)</f>
        <v>0</v>
      </c>
      <c r="J12" s="9" t="n">
        <f aca="false">I12-G12</f>
        <v>-110</v>
      </c>
      <c r="K12" s="5" t="n">
        <f aca="false">COUNTIFS('Work items'!$A$2:$A$46,A12,'Work items'!$F$2:$F$46,"Done")</f>
        <v>0</v>
      </c>
      <c r="L12" s="5" t="n">
        <f aca="false">COUNTIFS('Work items'!$A$2:$A$46,A12)</f>
        <v>3</v>
      </c>
      <c r="M12" s="10" t="s">
        <v>35</v>
      </c>
      <c r="N12" s="10"/>
    </row>
    <row r="13" customFormat="false" ht="15" hidden="false" customHeight="false" outlineLevel="0" collapsed="false">
      <c r="A13" s="5" t="s">
        <v>56</v>
      </c>
      <c r="B13" s="6" t="n">
        <v>46646</v>
      </c>
      <c r="C13" s="6" t="n">
        <v>46675</v>
      </c>
      <c r="D13" s="5" t="s">
        <v>57</v>
      </c>
      <c r="E13" s="5" t="n">
        <f aca="false">C13-B13+1</f>
        <v>30</v>
      </c>
      <c r="F13" s="7" t="n">
        <f aca="false">E13*Settings!$B$2</f>
        <v>135</v>
      </c>
      <c r="G13" s="5" t="n">
        <f aca="false">SUMIFS('Work items'!$D$2:$D$46,'Work items'!$A$2:$A$46,A13)</f>
        <v>110</v>
      </c>
      <c r="H13" s="8" t="n">
        <f aca="false">IF(F13=0,0,G13/F13)</f>
        <v>0.814814814814815</v>
      </c>
      <c r="I13" s="5" t="n">
        <f aca="false">SUMIFS('Daily log'!$D$2:$D$370,'Daily log'!$C$2:$C$370,A13)</f>
        <v>0</v>
      </c>
      <c r="J13" s="9" t="n">
        <f aca="false">I13-G13</f>
        <v>-110</v>
      </c>
      <c r="K13" s="5" t="n">
        <f aca="false">COUNTIFS('Work items'!$A$2:$A$46,A13,'Work items'!$F$2:$F$46,"Done")</f>
        <v>0</v>
      </c>
      <c r="L13" s="5" t="n">
        <f aca="false">COUNTIFS('Work items'!$A$2:$A$46,A13)</f>
        <v>4</v>
      </c>
      <c r="M13" s="10" t="s">
        <v>35</v>
      </c>
      <c r="N13" s="10"/>
    </row>
    <row r="15" customFormat="false" ht="15" hidden="false" customHeight="false" outlineLevel="0" collapsed="false">
      <c r="D15" s="11" t="s">
        <v>58</v>
      </c>
      <c r="F15" s="12" t="n">
        <f aca="false">SUM(F2:F13)</f>
        <v>1660.5</v>
      </c>
      <c r="G15" s="12" t="n">
        <f aca="false">SUM(G2:G13)</f>
        <v>1352</v>
      </c>
      <c r="H15" s="13" t="n">
        <f aca="false">IF(F15=0,0,G15/F15)</f>
        <v>0.81421258657031</v>
      </c>
      <c r="I15" s="12" t="n">
        <f aca="false">SUM(I2:I13)</f>
        <v>0</v>
      </c>
    </row>
    <row r="17" customFormat="false" ht="15" hidden="false" customHeight="false" outlineLevel="0" collapsed="false">
      <c r="D17" s="14" t="s">
        <v>59</v>
      </c>
    </row>
  </sheetData>
  <conditionalFormatting sqref="H2:H13">
    <cfRule type="cellIs" priority="2" operator="greaterThan" aboveAverage="0" equalAverage="0" bottom="0" percent="0" rank="0" text="" dxfId="0">
      <formula>Settings!$B$4</formula>
    </cfRule>
  </conditionalFormatting>
  <dataValidations count="1">
    <dataValidation allowBlank="false" errorStyle="stop" operator="between" showDropDown="false" showErrorMessage="false" showInputMessage="false" sqref="M2:M13" type="list">
      <formula1>"Planned,In progress,Released,Hardening release"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5" t="s">
        <v>60</v>
      </c>
      <c r="B1" s="15" t="s">
        <v>61</v>
      </c>
      <c r="C1" s="15" t="s">
        <v>62</v>
      </c>
    </row>
    <row r="2" customFormat="false" ht="15" hidden="false" customHeight="false" outlineLevel="0" collapsed="false">
      <c r="A2" s="16" t="s">
        <v>63</v>
      </c>
      <c r="B2" s="17" t="n">
        <v>4.5</v>
      </c>
      <c r="C2" s="16" t="s">
        <v>64</v>
      </c>
    </row>
    <row r="3" customFormat="false" ht="15" hidden="false" customHeight="false" outlineLevel="0" collapsed="false">
      <c r="A3" s="16" t="s">
        <v>65</v>
      </c>
      <c r="B3" s="18" t="n">
        <f aca="false">B2*7</f>
        <v>31.5</v>
      </c>
      <c r="C3" s="16" t="s">
        <v>66</v>
      </c>
    </row>
    <row r="4" customFormat="false" ht="15" hidden="false" customHeight="false" outlineLevel="0" collapsed="false">
      <c r="A4" s="16" t="s">
        <v>67</v>
      </c>
      <c r="B4" s="19" t="n">
        <v>0.85</v>
      </c>
      <c r="C4" s="1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4" t="s">
        <v>19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31</v>
      </c>
      <c r="G1" s="4" t="s">
        <v>73</v>
      </c>
      <c r="H1" s="4" t="s">
        <v>74</v>
      </c>
    </row>
    <row r="2" customFormat="false" ht="15" hidden="false" customHeight="false" outlineLevel="0" collapsed="false">
      <c r="A2" s="5" t="s">
        <v>33</v>
      </c>
      <c r="B2" s="5" t="n">
        <v>1</v>
      </c>
      <c r="C2" s="5" t="s">
        <v>75</v>
      </c>
      <c r="D2" s="5" t="n">
        <v>15</v>
      </c>
      <c r="E2" s="10"/>
      <c r="F2" s="10" t="s">
        <v>76</v>
      </c>
      <c r="G2" s="20"/>
      <c r="H2" s="10"/>
    </row>
    <row r="3" customFormat="false" ht="26.85" hidden="false" customHeight="false" outlineLevel="0" collapsed="false">
      <c r="A3" s="5" t="s">
        <v>33</v>
      </c>
      <c r="B3" s="5" t="n">
        <v>2</v>
      </c>
      <c r="C3" s="5" t="s">
        <v>77</v>
      </c>
      <c r="D3" s="5" t="n">
        <v>3</v>
      </c>
      <c r="E3" s="10"/>
      <c r="F3" s="10" t="s">
        <v>76</v>
      </c>
      <c r="G3" s="20"/>
      <c r="H3" s="10"/>
    </row>
    <row r="4" customFormat="false" ht="26.85" hidden="false" customHeight="false" outlineLevel="0" collapsed="false">
      <c r="A4" s="5" t="s">
        <v>33</v>
      </c>
      <c r="B4" s="5" t="n">
        <v>3</v>
      </c>
      <c r="C4" s="5" t="s">
        <v>78</v>
      </c>
      <c r="D4" s="5" t="n">
        <v>25</v>
      </c>
      <c r="E4" s="10"/>
      <c r="F4" s="10" t="s">
        <v>76</v>
      </c>
      <c r="G4" s="20"/>
      <c r="H4" s="10"/>
    </row>
    <row r="5" customFormat="false" ht="26.85" hidden="false" customHeight="false" outlineLevel="0" collapsed="false">
      <c r="A5" s="5" t="s">
        <v>33</v>
      </c>
      <c r="B5" s="5" t="n">
        <v>4</v>
      </c>
      <c r="C5" s="5" t="s">
        <v>79</v>
      </c>
      <c r="D5" s="5" t="n">
        <v>20</v>
      </c>
      <c r="E5" s="10"/>
      <c r="F5" s="10" t="s">
        <v>76</v>
      </c>
      <c r="G5" s="20"/>
      <c r="H5" s="10"/>
    </row>
    <row r="6" customFormat="false" ht="15" hidden="false" customHeight="false" outlineLevel="0" collapsed="false">
      <c r="A6" s="5" t="s">
        <v>33</v>
      </c>
      <c r="B6" s="5" t="n">
        <v>5</v>
      </c>
      <c r="C6" s="5" t="s">
        <v>80</v>
      </c>
      <c r="D6" s="5" t="n">
        <v>40</v>
      </c>
      <c r="E6" s="10"/>
      <c r="F6" s="10" t="s">
        <v>76</v>
      </c>
      <c r="G6" s="20"/>
      <c r="H6" s="10"/>
    </row>
    <row r="7" customFormat="false" ht="15" hidden="false" customHeight="false" outlineLevel="0" collapsed="false">
      <c r="A7" s="5" t="s">
        <v>33</v>
      </c>
      <c r="B7" s="5" t="n">
        <v>6</v>
      </c>
      <c r="C7" s="5" t="s">
        <v>81</v>
      </c>
      <c r="D7" s="5" t="n">
        <v>25</v>
      </c>
      <c r="E7" s="10"/>
      <c r="F7" s="10" t="s">
        <v>76</v>
      </c>
      <c r="G7" s="20"/>
      <c r="H7" s="10"/>
    </row>
    <row r="8" customFormat="false" ht="15" hidden="false" customHeight="false" outlineLevel="0" collapsed="false">
      <c r="A8" s="5" t="s">
        <v>33</v>
      </c>
      <c r="B8" s="5" t="n">
        <v>7</v>
      </c>
      <c r="C8" s="5" t="s">
        <v>82</v>
      </c>
      <c r="D8" s="5" t="n">
        <v>10</v>
      </c>
      <c r="E8" s="10"/>
      <c r="F8" s="10" t="s">
        <v>76</v>
      </c>
      <c r="G8" s="20"/>
      <c r="H8" s="10"/>
    </row>
    <row r="9" customFormat="false" ht="15" hidden="false" customHeight="false" outlineLevel="0" collapsed="false">
      <c r="A9" s="5" t="s">
        <v>36</v>
      </c>
      <c r="B9" s="5" t="n">
        <v>1</v>
      </c>
      <c r="C9" s="5" t="s">
        <v>83</v>
      </c>
      <c r="D9" s="5" t="n">
        <v>37</v>
      </c>
      <c r="E9" s="10"/>
      <c r="F9" s="10" t="s">
        <v>76</v>
      </c>
      <c r="G9" s="20"/>
      <c r="H9" s="10"/>
    </row>
    <row r="10" customFormat="false" ht="15" hidden="false" customHeight="false" outlineLevel="0" collapsed="false">
      <c r="A10" s="5" t="s">
        <v>36</v>
      </c>
      <c r="B10" s="5" t="n">
        <v>2</v>
      </c>
      <c r="C10" s="5" t="s">
        <v>84</v>
      </c>
      <c r="D10" s="5" t="n">
        <v>20</v>
      </c>
      <c r="E10" s="10"/>
      <c r="F10" s="10" t="s">
        <v>76</v>
      </c>
      <c r="G10" s="20"/>
      <c r="H10" s="10"/>
    </row>
    <row r="11" customFormat="false" ht="15" hidden="false" customHeight="false" outlineLevel="0" collapsed="false">
      <c r="A11" s="5" t="s">
        <v>36</v>
      </c>
      <c r="B11" s="5" t="n">
        <v>3</v>
      </c>
      <c r="C11" s="5" t="s">
        <v>85</v>
      </c>
      <c r="D11" s="5" t="n">
        <v>12</v>
      </c>
      <c r="E11" s="10"/>
      <c r="F11" s="10" t="s">
        <v>76</v>
      </c>
      <c r="G11" s="20"/>
      <c r="H11" s="10"/>
    </row>
    <row r="12" customFormat="false" ht="26.85" hidden="false" customHeight="false" outlineLevel="0" collapsed="false">
      <c r="A12" s="5" t="s">
        <v>36</v>
      </c>
      <c r="B12" s="5" t="n">
        <v>4</v>
      </c>
      <c r="C12" s="5" t="s">
        <v>86</v>
      </c>
      <c r="D12" s="5" t="n">
        <v>45</v>
      </c>
      <c r="E12" s="10"/>
      <c r="F12" s="10" t="s">
        <v>76</v>
      </c>
      <c r="G12" s="20"/>
      <c r="H12" s="10"/>
    </row>
    <row r="13" customFormat="false" ht="15" hidden="false" customHeight="false" outlineLevel="0" collapsed="false">
      <c r="A13" s="5" t="s">
        <v>38</v>
      </c>
      <c r="B13" s="5" t="n">
        <v>1</v>
      </c>
      <c r="C13" s="5" t="s">
        <v>87</v>
      </c>
      <c r="D13" s="5" t="n">
        <v>45</v>
      </c>
      <c r="E13" s="10"/>
      <c r="F13" s="10" t="s">
        <v>76</v>
      </c>
      <c r="G13" s="20"/>
      <c r="H13" s="10"/>
    </row>
    <row r="14" customFormat="false" ht="15" hidden="false" customHeight="false" outlineLevel="0" collapsed="false">
      <c r="A14" s="5" t="s">
        <v>38</v>
      </c>
      <c r="B14" s="5" t="n">
        <v>2</v>
      </c>
      <c r="C14" s="5" t="s">
        <v>88</v>
      </c>
      <c r="D14" s="5" t="n">
        <v>25</v>
      </c>
      <c r="E14" s="10"/>
      <c r="F14" s="10" t="s">
        <v>76</v>
      </c>
      <c r="G14" s="20"/>
      <c r="H14" s="10"/>
    </row>
    <row r="15" customFormat="false" ht="15" hidden="false" customHeight="false" outlineLevel="0" collapsed="false">
      <c r="A15" s="5" t="s">
        <v>38</v>
      </c>
      <c r="B15" s="5" t="n">
        <v>3</v>
      </c>
      <c r="C15" s="5" t="s">
        <v>89</v>
      </c>
      <c r="D15" s="5" t="n">
        <v>20</v>
      </c>
      <c r="E15" s="10"/>
      <c r="F15" s="10" t="s">
        <v>76</v>
      </c>
      <c r="G15" s="20"/>
      <c r="H15" s="10"/>
    </row>
    <row r="16" customFormat="false" ht="15" hidden="false" customHeight="false" outlineLevel="0" collapsed="false">
      <c r="A16" s="5" t="s">
        <v>38</v>
      </c>
      <c r="B16" s="5" t="n">
        <v>4</v>
      </c>
      <c r="C16" s="5" t="s">
        <v>90</v>
      </c>
      <c r="D16" s="5" t="n">
        <v>35</v>
      </c>
      <c r="E16" s="10"/>
      <c r="F16" s="10" t="s">
        <v>76</v>
      </c>
      <c r="G16" s="20"/>
      <c r="H16" s="10"/>
    </row>
    <row r="17" customFormat="false" ht="15" hidden="false" customHeight="false" outlineLevel="0" collapsed="false">
      <c r="A17" s="5" t="s">
        <v>40</v>
      </c>
      <c r="B17" s="5" t="n">
        <v>1</v>
      </c>
      <c r="C17" s="5" t="s">
        <v>91</v>
      </c>
      <c r="D17" s="5" t="n">
        <v>30</v>
      </c>
      <c r="E17" s="10"/>
      <c r="F17" s="10" t="s">
        <v>76</v>
      </c>
      <c r="G17" s="20"/>
      <c r="H17" s="10"/>
    </row>
    <row r="18" customFormat="false" ht="15" hidden="false" customHeight="false" outlineLevel="0" collapsed="false">
      <c r="A18" s="5" t="s">
        <v>40</v>
      </c>
      <c r="B18" s="5" t="n">
        <v>2</v>
      </c>
      <c r="C18" s="5" t="s">
        <v>92</v>
      </c>
      <c r="D18" s="5" t="n">
        <v>35</v>
      </c>
      <c r="E18" s="10"/>
      <c r="F18" s="10" t="s">
        <v>76</v>
      </c>
      <c r="G18" s="20"/>
      <c r="H18" s="10"/>
    </row>
    <row r="19" customFormat="false" ht="15" hidden="false" customHeight="false" outlineLevel="0" collapsed="false">
      <c r="A19" s="5" t="s">
        <v>40</v>
      </c>
      <c r="B19" s="5" t="n">
        <v>3</v>
      </c>
      <c r="C19" s="5" t="s">
        <v>93</v>
      </c>
      <c r="D19" s="5" t="n">
        <v>45</v>
      </c>
      <c r="E19" s="10"/>
      <c r="F19" s="10" t="s">
        <v>76</v>
      </c>
      <c r="G19" s="20"/>
      <c r="H19" s="10"/>
    </row>
    <row r="20" customFormat="false" ht="15" hidden="false" customHeight="false" outlineLevel="0" collapsed="false">
      <c r="A20" s="5" t="s">
        <v>40</v>
      </c>
      <c r="B20" s="5" t="n">
        <v>4</v>
      </c>
      <c r="C20" s="5" t="s">
        <v>94</v>
      </c>
      <c r="D20" s="5" t="n">
        <v>10</v>
      </c>
      <c r="E20" s="10"/>
      <c r="F20" s="10" t="s">
        <v>76</v>
      </c>
      <c r="G20" s="20"/>
      <c r="H20" s="10"/>
    </row>
    <row r="21" customFormat="false" ht="15" hidden="false" customHeight="false" outlineLevel="0" collapsed="false">
      <c r="A21" s="5" t="s">
        <v>42</v>
      </c>
      <c r="B21" s="5" t="n">
        <v>1</v>
      </c>
      <c r="C21" s="5" t="s">
        <v>95</v>
      </c>
      <c r="D21" s="5" t="n">
        <v>70</v>
      </c>
      <c r="E21" s="10"/>
      <c r="F21" s="10" t="s">
        <v>76</v>
      </c>
      <c r="G21" s="20"/>
      <c r="H21" s="10"/>
    </row>
    <row r="22" customFormat="false" ht="15" hidden="false" customHeight="false" outlineLevel="0" collapsed="false">
      <c r="A22" s="5" t="s">
        <v>42</v>
      </c>
      <c r="B22" s="5" t="n">
        <v>2</v>
      </c>
      <c r="C22" s="5" t="s">
        <v>96</v>
      </c>
      <c r="D22" s="5" t="n">
        <v>25</v>
      </c>
      <c r="E22" s="10"/>
      <c r="F22" s="10" t="s">
        <v>76</v>
      </c>
      <c r="G22" s="20"/>
      <c r="H22" s="10"/>
    </row>
    <row r="23" customFormat="false" ht="15" hidden="false" customHeight="false" outlineLevel="0" collapsed="false">
      <c r="A23" s="5" t="s">
        <v>42</v>
      </c>
      <c r="B23" s="5" t="n">
        <v>3</v>
      </c>
      <c r="C23" s="5" t="s">
        <v>97</v>
      </c>
      <c r="D23" s="5" t="n">
        <v>20</v>
      </c>
      <c r="E23" s="10"/>
      <c r="F23" s="10" t="s">
        <v>76</v>
      </c>
      <c r="G23" s="20"/>
      <c r="H23" s="10"/>
    </row>
    <row r="24" customFormat="false" ht="15" hidden="false" customHeight="false" outlineLevel="0" collapsed="false">
      <c r="A24" s="5" t="s">
        <v>44</v>
      </c>
      <c r="B24" s="5" t="n">
        <v>1</v>
      </c>
      <c r="C24" s="5" t="s">
        <v>98</v>
      </c>
      <c r="D24" s="5" t="n">
        <v>20</v>
      </c>
      <c r="E24" s="10"/>
      <c r="F24" s="10" t="s">
        <v>76</v>
      </c>
      <c r="G24" s="20"/>
      <c r="H24" s="10"/>
    </row>
    <row r="25" customFormat="false" ht="15" hidden="false" customHeight="false" outlineLevel="0" collapsed="false">
      <c r="A25" s="5" t="s">
        <v>44</v>
      </c>
      <c r="B25" s="5" t="n">
        <v>2</v>
      </c>
      <c r="C25" s="5" t="s">
        <v>99</v>
      </c>
      <c r="D25" s="5" t="n">
        <v>35</v>
      </c>
      <c r="E25" s="10"/>
      <c r="F25" s="10" t="s">
        <v>76</v>
      </c>
      <c r="G25" s="20"/>
      <c r="H25" s="10"/>
    </row>
    <row r="26" customFormat="false" ht="15" hidden="false" customHeight="false" outlineLevel="0" collapsed="false">
      <c r="A26" s="5" t="s">
        <v>44</v>
      </c>
      <c r="B26" s="5" t="n">
        <v>3</v>
      </c>
      <c r="C26" s="5" t="s">
        <v>100</v>
      </c>
      <c r="D26" s="5" t="n">
        <v>25</v>
      </c>
      <c r="E26" s="10"/>
      <c r="F26" s="10" t="s">
        <v>76</v>
      </c>
      <c r="G26" s="20"/>
      <c r="H26" s="10"/>
    </row>
    <row r="27" customFormat="false" ht="15" hidden="false" customHeight="false" outlineLevel="0" collapsed="false">
      <c r="A27" s="5" t="s">
        <v>44</v>
      </c>
      <c r="B27" s="5" t="n">
        <v>4</v>
      </c>
      <c r="C27" s="5" t="s">
        <v>101</v>
      </c>
      <c r="D27" s="5" t="n">
        <v>30</v>
      </c>
      <c r="E27" s="10"/>
      <c r="F27" s="10" t="s">
        <v>76</v>
      </c>
      <c r="G27" s="20"/>
      <c r="H27" s="10"/>
    </row>
    <row r="28" customFormat="false" ht="15" hidden="false" customHeight="false" outlineLevel="0" collapsed="false">
      <c r="A28" s="5" t="s">
        <v>46</v>
      </c>
      <c r="B28" s="5" t="n">
        <v>1</v>
      </c>
      <c r="C28" s="5" t="s">
        <v>102</v>
      </c>
      <c r="D28" s="5" t="n">
        <v>25</v>
      </c>
      <c r="E28" s="10"/>
      <c r="F28" s="10" t="s">
        <v>76</v>
      </c>
      <c r="G28" s="20"/>
      <c r="H28" s="10"/>
    </row>
    <row r="29" customFormat="false" ht="15" hidden="false" customHeight="false" outlineLevel="0" collapsed="false">
      <c r="A29" s="5" t="s">
        <v>46</v>
      </c>
      <c r="B29" s="5" t="n">
        <v>2</v>
      </c>
      <c r="C29" s="5" t="s">
        <v>103</v>
      </c>
      <c r="D29" s="5" t="n">
        <v>20</v>
      </c>
      <c r="E29" s="10"/>
      <c r="F29" s="10" t="s">
        <v>76</v>
      </c>
      <c r="G29" s="20"/>
      <c r="H29" s="10"/>
    </row>
    <row r="30" customFormat="false" ht="15" hidden="false" customHeight="false" outlineLevel="0" collapsed="false">
      <c r="A30" s="5" t="s">
        <v>46</v>
      </c>
      <c r="B30" s="5" t="n">
        <v>3</v>
      </c>
      <c r="C30" s="5" t="s">
        <v>104</v>
      </c>
      <c r="D30" s="5" t="n">
        <v>55</v>
      </c>
      <c r="E30" s="10"/>
      <c r="F30" s="10" t="s">
        <v>76</v>
      </c>
      <c r="G30" s="20"/>
      <c r="H30" s="10"/>
    </row>
    <row r="31" customFormat="false" ht="15" hidden="false" customHeight="false" outlineLevel="0" collapsed="false">
      <c r="A31" s="5" t="s">
        <v>48</v>
      </c>
      <c r="B31" s="5" t="n">
        <v>1</v>
      </c>
      <c r="C31" s="5" t="s">
        <v>105</v>
      </c>
      <c r="D31" s="5" t="n">
        <v>55</v>
      </c>
      <c r="E31" s="10"/>
      <c r="F31" s="10" t="s">
        <v>76</v>
      </c>
      <c r="G31" s="20"/>
      <c r="H31" s="10"/>
    </row>
    <row r="32" customFormat="false" ht="15" hidden="false" customHeight="false" outlineLevel="0" collapsed="false">
      <c r="A32" s="5" t="s">
        <v>48</v>
      </c>
      <c r="B32" s="5" t="n">
        <v>2</v>
      </c>
      <c r="C32" s="5" t="s">
        <v>106</v>
      </c>
      <c r="D32" s="5" t="n">
        <v>20</v>
      </c>
      <c r="E32" s="10"/>
      <c r="F32" s="10" t="s">
        <v>76</v>
      </c>
      <c r="G32" s="20"/>
      <c r="H32" s="10"/>
    </row>
    <row r="33" customFormat="false" ht="15" hidden="false" customHeight="false" outlineLevel="0" collapsed="false">
      <c r="A33" s="5" t="s">
        <v>48</v>
      </c>
      <c r="B33" s="5" t="n">
        <v>3</v>
      </c>
      <c r="C33" s="5" t="s">
        <v>107</v>
      </c>
      <c r="D33" s="5" t="n">
        <v>30</v>
      </c>
      <c r="E33" s="10"/>
      <c r="F33" s="10" t="s">
        <v>76</v>
      </c>
      <c r="G33" s="20"/>
      <c r="H33" s="10"/>
    </row>
    <row r="34" customFormat="false" ht="15" hidden="false" customHeight="false" outlineLevel="0" collapsed="false">
      <c r="A34" s="5" t="s">
        <v>50</v>
      </c>
      <c r="B34" s="5" t="n">
        <v>1</v>
      </c>
      <c r="C34" s="5" t="s">
        <v>108</v>
      </c>
      <c r="D34" s="5" t="n">
        <v>30</v>
      </c>
      <c r="E34" s="10"/>
      <c r="F34" s="10" t="s">
        <v>76</v>
      </c>
      <c r="G34" s="20"/>
      <c r="H34" s="10"/>
    </row>
    <row r="35" customFormat="false" ht="15" hidden="false" customHeight="false" outlineLevel="0" collapsed="false">
      <c r="A35" s="5" t="s">
        <v>50</v>
      </c>
      <c r="B35" s="5" t="n">
        <v>2</v>
      </c>
      <c r="C35" s="5" t="s">
        <v>109</v>
      </c>
      <c r="D35" s="5" t="n">
        <v>25</v>
      </c>
      <c r="E35" s="10"/>
      <c r="F35" s="10" t="s">
        <v>76</v>
      </c>
      <c r="G35" s="20"/>
      <c r="H35" s="10"/>
    </row>
    <row r="36" customFormat="false" ht="15" hidden="false" customHeight="false" outlineLevel="0" collapsed="false">
      <c r="A36" s="5" t="s">
        <v>50</v>
      </c>
      <c r="B36" s="5" t="n">
        <v>3</v>
      </c>
      <c r="C36" s="5" t="s">
        <v>110</v>
      </c>
      <c r="D36" s="5" t="n">
        <v>45</v>
      </c>
      <c r="E36" s="10"/>
      <c r="F36" s="10" t="s">
        <v>76</v>
      </c>
      <c r="G36" s="20"/>
      <c r="H36" s="10"/>
    </row>
    <row r="37" customFormat="false" ht="15" hidden="false" customHeight="false" outlineLevel="0" collapsed="false">
      <c r="A37" s="5" t="s">
        <v>52</v>
      </c>
      <c r="B37" s="5" t="n">
        <v>1</v>
      </c>
      <c r="C37" s="5" t="s">
        <v>111</v>
      </c>
      <c r="D37" s="5" t="n">
        <v>30</v>
      </c>
      <c r="E37" s="10"/>
      <c r="F37" s="10" t="s">
        <v>76</v>
      </c>
      <c r="G37" s="20"/>
      <c r="H37" s="10"/>
    </row>
    <row r="38" customFormat="false" ht="15" hidden="false" customHeight="false" outlineLevel="0" collapsed="false">
      <c r="A38" s="5" t="s">
        <v>52</v>
      </c>
      <c r="B38" s="5" t="n">
        <v>2</v>
      </c>
      <c r="C38" s="5" t="s">
        <v>112</v>
      </c>
      <c r="D38" s="5" t="n">
        <v>35</v>
      </c>
      <c r="E38" s="10"/>
      <c r="F38" s="10" t="s">
        <v>76</v>
      </c>
      <c r="G38" s="20"/>
      <c r="H38" s="10"/>
    </row>
    <row r="39" customFormat="false" ht="15" hidden="false" customHeight="false" outlineLevel="0" collapsed="false">
      <c r="A39" s="5" t="s">
        <v>52</v>
      </c>
      <c r="B39" s="5" t="n">
        <v>3</v>
      </c>
      <c r="C39" s="5" t="s">
        <v>113</v>
      </c>
      <c r="D39" s="5" t="n">
        <v>40</v>
      </c>
      <c r="E39" s="10"/>
      <c r="F39" s="10" t="s">
        <v>76</v>
      </c>
      <c r="G39" s="20"/>
      <c r="H39" s="10"/>
    </row>
    <row r="40" customFormat="false" ht="26.85" hidden="false" customHeight="false" outlineLevel="0" collapsed="false">
      <c r="A40" s="5" t="s">
        <v>54</v>
      </c>
      <c r="B40" s="5" t="n">
        <v>1</v>
      </c>
      <c r="C40" s="5" t="s">
        <v>114</v>
      </c>
      <c r="D40" s="5" t="n">
        <v>45</v>
      </c>
      <c r="E40" s="10"/>
      <c r="F40" s="10" t="s">
        <v>76</v>
      </c>
      <c r="G40" s="20"/>
      <c r="H40" s="10"/>
    </row>
    <row r="41" customFormat="false" ht="15" hidden="false" customHeight="false" outlineLevel="0" collapsed="false">
      <c r="A41" s="5" t="s">
        <v>54</v>
      </c>
      <c r="B41" s="5" t="n">
        <v>2</v>
      </c>
      <c r="C41" s="5" t="s">
        <v>115</v>
      </c>
      <c r="D41" s="5" t="n">
        <v>50</v>
      </c>
      <c r="E41" s="10"/>
      <c r="F41" s="10" t="s">
        <v>76</v>
      </c>
      <c r="G41" s="20"/>
      <c r="H41" s="10"/>
    </row>
    <row r="42" customFormat="false" ht="15" hidden="false" customHeight="false" outlineLevel="0" collapsed="false">
      <c r="A42" s="5" t="s">
        <v>54</v>
      </c>
      <c r="B42" s="5" t="n">
        <v>3</v>
      </c>
      <c r="C42" s="5" t="s">
        <v>116</v>
      </c>
      <c r="D42" s="5" t="n">
        <v>15</v>
      </c>
      <c r="E42" s="10"/>
      <c r="F42" s="10" t="s">
        <v>76</v>
      </c>
      <c r="G42" s="20"/>
      <c r="H42" s="10"/>
    </row>
    <row r="43" customFormat="false" ht="15" hidden="false" customHeight="false" outlineLevel="0" collapsed="false">
      <c r="A43" s="5" t="s">
        <v>56</v>
      </c>
      <c r="B43" s="5" t="n">
        <v>1</v>
      </c>
      <c r="C43" s="5" t="s">
        <v>117</v>
      </c>
      <c r="D43" s="5" t="n">
        <v>50</v>
      </c>
      <c r="E43" s="10"/>
      <c r="F43" s="10" t="s">
        <v>76</v>
      </c>
      <c r="G43" s="20"/>
      <c r="H43" s="10"/>
    </row>
    <row r="44" customFormat="false" ht="15" hidden="false" customHeight="false" outlineLevel="0" collapsed="false">
      <c r="A44" s="5" t="s">
        <v>56</v>
      </c>
      <c r="B44" s="5" t="n">
        <v>2</v>
      </c>
      <c r="C44" s="5" t="s">
        <v>118</v>
      </c>
      <c r="D44" s="5" t="n">
        <v>20</v>
      </c>
      <c r="E44" s="10"/>
      <c r="F44" s="10" t="s">
        <v>76</v>
      </c>
      <c r="G44" s="20"/>
      <c r="H44" s="10"/>
    </row>
    <row r="45" customFormat="false" ht="15" hidden="false" customHeight="false" outlineLevel="0" collapsed="false">
      <c r="A45" s="5" t="s">
        <v>56</v>
      </c>
      <c r="B45" s="5" t="n">
        <v>3</v>
      </c>
      <c r="C45" s="5" t="s">
        <v>119</v>
      </c>
      <c r="D45" s="5" t="n">
        <v>25</v>
      </c>
      <c r="E45" s="10"/>
      <c r="F45" s="10" t="s">
        <v>76</v>
      </c>
      <c r="G45" s="20"/>
      <c r="H45" s="10"/>
    </row>
    <row r="46" customFormat="false" ht="15" hidden="false" customHeight="false" outlineLevel="0" collapsed="false">
      <c r="A46" s="5" t="s">
        <v>56</v>
      </c>
      <c r="B46" s="5" t="n">
        <v>4</v>
      </c>
      <c r="C46" s="5" t="s">
        <v>120</v>
      </c>
      <c r="D46" s="5" t="n">
        <v>15</v>
      </c>
      <c r="E46" s="10"/>
      <c r="F46" s="10" t="s">
        <v>76</v>
      </c>
      <c r="G46" s="20"/>
      <c r="H46" s="10"/>
    </row>
    <row r="48" customFormat="false" ht="15" hidden="false" customHeight="false" outlineLevel="0" collapsed="false">
      <c r="C48" s="11" t="s">
        <v>58</v>
      </c>
      <c r="D48" s="11" t="n">
        <f aca="false">SUM(D2:D46)</f>
        <v>1352</v>
      </c>
      <c r="E48" s="11" t="n">
        <f aca="false">SUM(E2:E46)</f>
        <v>0</v>
      </c>
    </row>
  </sheetData>
  <conditionalFormatting sqref="A2:H46">
    <cfRule type="expression" priority="2" aboveAverage="0" equalAverage="0" bottom="0" percent="0" rank="0" text="" dxfId="1">
      <formula>$F2="Done"</formula>
    </cfRule>
    <cfRule type="expression" priority="3" aboveAverage="0" equalAverage="0" bottom="0" percent="0" rank="0" text="" dxfId="0">
      <formula>$F2="Moved"</formula>
    </cfRule>
  </conditionalFormatting>
  <dataValidations count="1">
    <dataValidation allowBlank="false" errorStyle="stop" operator="between" showDropDown="false" showErrorMessage="false" showInputMessage="false" sqref="F2:F46" type="list">
      <formula1>"Not started,In progress,Done,Moved"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80"/>
    <col collapsed="false" customWidth="true" hidden="false" outlineLevel="0" max="6" min="6" style="0" width="15"/>
  </cols>
  <sheetData>
    <row r="1" customFormat="false" ht="26.85" hidden="false" customHeight="false" outlineLevel="0" collapsed="false">
      <c r="A1" s="4" t="s">
        <v>121</v>
      </c>
      <c r="B1" s="4" t="s">
        <v>122</v>
      </c>
      <c r="C1" s="4" t="s">
        <v>123</v>
      </c>
      <c r="D1" s="4" t="s">
        <v>124</v>
      </c>
      <c r="E1" s="4" t="s">
        <v>125</v>
      </c>
      <c r="F1" s="4" t="s">
        <v>126</v>
      </c>
    </row>
    <row r="2" customFormat="false" ht="15" hidden="false" customHeight="false" outlineLevel="0" collapsed="false">
      <c r="A2" s="21" t="n">
        <v>46307</v>
      </c>
      <c r="B2" s="22" t="str">
        <f aca="false">TEXT(A2,"ddd")</f>
        <v>Mon</v>
      </c>
      <c r="C2" s="22" t="str">
        <f aca="false">INDEX(Releases!$A$2:$A$13,MATCH(A2,Releases!$B$2:$B$13,1))</f>
        <v>v1.0.0</v>
      </c>
      <c r="D2" s="23"/>
      <c r="E2" s="23"/>
      <c r="F2" s="23"/>
    </row>
    <row r="3" customFormat="false" ht="15" hidden="false" customHeight="false" outlineLevel="0" collapsed="false">
      <c r="A3" s="21" t="n">
        <v>46308</v>
      </c>
      <c r="B3" s="22" t="str">
        <f aca="false">TEXT(A3,"ddd")</f>
        <v>Tue</v>
      </c>
      <c r="C3" s="22" t="str">
        <f aca="false">INDEX(Releases!$A$2:$A$13,MATCH(A3,Releases!$B$2:$B$13,1))</f>
        <v>v1.0.0</v>
      </c>
      <c r="D3" s="23"/>
      <c r="E3" s="23"/>
      <c r="F3" s="23"/>
    </row>
    <row r="4" customFormat="false" ht="15" hidden="false" customHeight="false" outlineLevel="0" collapsed="false">
      <c r="A4" s="21" t="n">
        <v>46309</v>
      </c>
      <c r="B4" s="22" t="str">
        <f aca="false">TEXT(A4,"ddd")</f>
        <v>Wed</v>
      </c>
      <c r="C4" s="22" t="str">
        <f aca="false">INDEX(Releases!$A$2:$A$13,MATCH(A4,Releases!$B$2:$B$13,1))</f>
        <v>v1.0.0</v>
      </c>
      <c r="D4" s="23"/>
      <c r="E4" s="23"/>
      <c r="F4" s="23"/>
    </row>
    <row r="5" customFormat="false" ht="15" hidden="false" customHeight="false" outlineLevel="0" collapsed="false">
      <c r="A5" s="21" t="n">
        <v>46310</v>
      </c>
      <c r="B5" s="22" t="str">
        <f aca="false">TEXT(A5,"ddd")</f>
        <v>Thu</v>
      </c>
      <c r="C5" s="22" t="str">
        <f aca="false">INDEX(Releases!$A$2:$A$13,MATCH(A5,Releases!$B$2:$B$13,1))</f>
        <v>v1.0.0</v>
      </c>
      <c r="D5" s="23"/>
      <c r="E5" s="23"/>
      <c r="F5" s="23"/>
    </row>
    <row r="6" customFormat="false" ht="15" hidden="false" customHeight="false" outlineLevel="0" collapsed="false">
      <c r="A6" s="21" t="n">
        <v>46311</v>
      </c>
      <c r="B6" s="22" t="str">
        <f aca="false">TEXT(A6,"ddd")</f>
        <v>Fri</v>
      </c>
      <c r="C6" s="22" t="str">
        <f aca="false">INDEX(Releases!$A$2:$A$13,MATCH(A6,Releases!$B$2:$B$13,1))</f>
        <v>v1.0.0</v>
      </c>
      <c r="D6" s="23"/>
      <c r="E6" s="23"/>
      <c r="F6" s="23"/>
    </row>
    <row r="7" customFormat="false" ht="15" hidden="false" customHeight="false" outlineLevel="0" collapsed="false">
      <c r="A7" s="21" t="n">
        <v>46312</v>
      </c>
      <c r="B7" s="22" t="str">
        <f aca="false">TEXT(A7,"ddd")</f>
        <v>Sat</v>
      </c>
      <c r="C7" s="22" t="str">
        <f aca="false">INDEX(Releases!$A$2:$A$13,MATCH(A7,Releases!$B$2:$B$13,1))</f>
        <v>v1.0.0</v>
      </c>
      <c r="D7" s="23"/>
      <c r="E7" s="23"/>
      <c r="F7" s="23"/>
    </row>
    <row r="8" customFormat="false" ht="15" hidden="false" customHeight="false" outlineLevel="0" collapsed="false">
      <c r="A8" s="21" t="n">
        <v>46313</v>
      </c>
      <c r="B8" s="22" t="str">
        <f aca="false">TEXT(A8,"ddd")</f>
        <v>Sun</v>
      </c>
      <c r="C8" s="22" t="str">
        <f aca="false">INDEX(Releases!$A$2:$A$13,MATCH(A8,Releases!$B$2:$B$13,1))</f>
        <v>v1.0.0</v>
      </c>
      <c r="D8" s="23"/>
      <c r="E8" s="23"/>
      <c r="F8" s="23"/>
    </row>
    <row r="9" customFormat="false" ht="15" hidden="false" customHeight="false" outlineLevel="0" collapsed="false">
      <c r="A9" s="21" t="n">
        <v>46314</v>
      </c>
      <c r="B9" s="22" t="str">
        <f aca="false">TEXT(A9,"ddd")</f>
        <v>Mon</v>
      </c>
      <c r="C9" s="22" t="str">
        <f aca="false">INDEX(Releases!$A$2:$A$13,MATCH(A9,Releases!$B$2:$B$13,1))</f>
        <v>v1.0.0</v>
      </c>
      <c r="D9" s="23"/>
      <c r="E9" s="23"/>
      <c r="F9" s="23"/>
    </row>
    <row r="10" customFormat="false" ht="15" hidden="false" customHeight="false" outlineLevel="0" collapsed="false">
      <c r="A10" s="21" t="n">
        <v>46315</v>
      </c>
      <c r="B10" s="22" t="str">
        <f aca="false">TEXT(A10,"ddd")</f>
        <v>Tue</v>
      </c>
      <c r="C10" s="22" t="str">
        <f aca="false">INDEX(Releases!$A$2:$A$13,MATCH(A10,Releases!$B$2:$B$13,1))</f>
        <v>v1.0.0</v>
      </c>
      <c r="D10" s="23"/>
      <c r="E10" s="23"/>
      <c r="F10" s="23"/>
    </row>
    <row r="11" customFormat="false" ht="15" hidden="false" customHeight="false" outlineLevel="0" collapsed="false">
      <c r="A11" s="21" t="n">
        <v>46316</v>
      </c>
      <c r="B11" s="22" t="str">
        <f aca="false">TEXT(A11,"ddd")</f>
        <v>Wed</v>
      </c>
      <c r="C11" s="22" t="str">
        <f aca="false">INDEX(Releases!$A$2:$A$13,MATCH(A11,Releases!$B$2:$B$13,1))</f>
        <v>v1.0.0</v>
      </c>
      <c r="D11" s="23"/>
      <c r="E11" s="23"/>
      <c r="F11" s="23"/>
    </row>
    <row r="12" customFormat="false" ht="15" hidden="false" customHeight="false" outlineLevel="0" collapsed="false">
      <c r="A12" s="21" t="n">
        <v>46317</v>
      </c>
      <c r="B12" s="22" t="str">
        <f aca="false">TEXT(A12,"ddd")</f>
        <v>Thu</v>
      </c>
      <c r="C12" s="22" t="str">
        <f aca="false">INDEX(Releases!$A$2:$A$13,MATCH(A12,Releases!$B$2:$B$13,1))</f>
        <v>v1.0.0</v>
      </c>
      <c r="D12" s="23"/>
      <c r="E12" s="23"/>
      <c r="F12" s="23"/>
    </row>
    <row r="13" customFormat="false" ht="15" hidden="false" customHeight="false" outlineLevel="0" collapsed="false">
      <c r="A13" s="21" t="n">
        <v>46318</v>
      </c>
      <c r="B13" s="22" t="str">
        <f aca="false">TEXT(A13,"ddd")</f>
        <v>Fri</v>
      </c>
      <c r="C13" s="22" t="str">
        <f aca="false">INDEX(Releases!$A$2:$A$13,MATCH(A13,Releases!$B$2:$B$13,1))</f>
        <v>v1.0.0</v>
      </c>
      <c r="D13" s="23"/>
      <c r="E13" s="23"/>
      <c r="F13" s="23"/>
    </row>
    <row r="14" customFormat="false" ht="15" hidden="false" customHeight="false" outlineLevel="0" collapsed="false">
      <c r="A14" s="21" t="n">
        <v>46319</v>
      </c>
      <c r="B14" s="22" t="str">
        <f aca="false">TEXT(A14,"ddd")</f>
        <v>Sat</v>
      </c>
      <c r="C14" s="22" t="str">
        <f aca="false">INDEX(Releases!$A$2:$A$13,MATCH(A14,Releases!$B$2:$B$13,1))</f>
        <v>v1.0.0</v>
      </c>
      <c r="D14" s="23"/>
      <c r="E14" s="23"/>
      <c r="F14" s="23"/>
    </row>
    <row r="15" customFormat="false" ht="15" hidden="false" customHeight="false" outlineLevel="0" collapsed="false">
      <c r="A15" s="21" t="n">
        <v>46320</v>
      </c>
      <c r="B15" s="22" t="str">
        <f aca="false">TEXT(A15,"ddd")</f>
        <v>Sun</v>
      </c>
      <c r="C15" s="22" t="str">
        <f aca="false">INDEX(Releases!$A$2:$A$13,MATCH(A15,Releases!$B$2:$B$13,1))</f>
        <v>v1.0.0</v>
      </c>
      <c r="D15" s="23"/>
      <c r="E15" s="23"/>
      <c r="F15" s="23"/>
    </row>
    <row r="16" customFormat="false" ht="15" hidden="false" customHeight="false" outlineLevel="0" collapsed="false">
      <c r="A16" s="21" t="n">
        <v>46321</v>
      </c>
      <c r="B16" s="22" t="str">
        <f aca="false">TEXT(A16,"ddd")</f>
        <v>Mon</v>
      </c>
      <c r="C16" s="22" t="str">
        <f aca="false">INDEX(Releases!$A$2:$A$13,MATCH(A16,Releases!$B$2:$B$13,1))</f>
        <v>v1.0.0</v>
      </c>
      <c r="D16" s="23"/>
      <c r="E16" s="23"/>
      <c r="F16" s="23"/>
    </row>
    <row r="17" customFormat="false" ht="15" hidden="false" customHeight="false" outlineLevel="0" collapsed="false">
      <c r="A17" s="21" t="n">
        <v>46322</v>
      </c>
      <c r="B17" s="22" t="str">
        <f aca="false">TEXT(A17,"ddd")</f>
        <v>Tue</v>
      </c>
      <c r="C17" s="22" t="str">
        <f aca="false">INDEX(Releases!$A$2:$A$13,MATCH(A17,Releases!$B$2:$B$13,1))</f>
        <v>v1.0.0</v>
      </c>
      <c r="D17" s="23"/>
      <c r="E17" s="23"/>
      <c r="F17" s="23"/>
    </row>
    <row r="18" customFormat="false" ht="15" hidden="false" customHeight="false" outlineLevel="0" collapsed="false">
      <c r="A18" s="21" t="n">
        <v>46323</v>
      </c>
      <c r="B18" s="22" t="str">
        <f aca="false">TEXT(A18,"ddd")</f>
        <v>Wed</v>
      </c>
      <c r="C18" s="22" t="str">
        <f aca="false">INDEX(Releases!$A$2:$A$13,MATCH(A18,Releases!$B$2:$B$13,1))</f>
        <v>v1.0.0</v>
      </c>
      <c r="D18" s="23"/>
      <c r="E18" s="23"/>
      <c r="F18" s="23"/>
    </row>
    <row r="19" customFormat="false" ht="15" hidden="false" customHeight="false" outlineLevel="0" collapsed="false">
      <c r="A19" s="21" t="n">
        <v>46324</v>
      </c>
      <c r="B19" s="22" t="str">
        <f aca="false">TEXT(A19,"ddd")</f>
        <v>Thu</v>
      </c>
      <c r="C19" s="22" t="str">
        <f aca="false">INDEX(Releases!$A$2:$A$13,MATCH(A19,Releases!$B$2:$B$13,1))</f>
        <v>v1.0.0</v>
      </c>
      <c r="D19" s="23"/>
      <c r="E19" s="23"/>
      <c r="F19" s="23"/>
    </row>
    <row r="20" customFormat="false" ht="15" hidden="false" customHeight="false" outlineLevel="0" collapsed="false">
      <c r="A20" s="21" t="n">
        <v>46325</v>
      </c>
      <c r="B20" s="22" t="str">
        <f aca="false">TEXT(A20,"ddd")</f>
        <v>Fri</v>
      </c>
      <c r="C20" s="22" t="str">
        <f aca="false">INDEX(Releases!$A$2:$A$13,MATCH(A20,Releases!$B$2:$B$13,1))</f>
        <v>v1.0.0</v>
      </c>
      <c r="D20" s="23"/>
      <c r="E20" s="23"/>
      <c r="F20" s="23"/>
    </row>
    <row r="21" customFormat="false" ht="15" hidden="false" customHeight="false" outlineLevel="0" collapsed="false">
      <c r="A21" s="21" t="n">
        <v>46326</v>
      </c>
      <c r="B21" s="22" t="str">
        <f aca="false">TEXT(A21,"ddd")</f>
        <v>Sat</v>
      </c>
      <c r="C21" s="22" t="str">
        <f aca="false">INDEX(Releases!$A$2:$A$13,MATCH(A21,Releases!$B$2:$B$13,1))</f>
        <v>v1.0.0</v>
      </c>
      <c r="D21" s="23"/>
      <c r="E21" s="23"/>
      <c r="F21" s="23"/>
    </row>
    <row r="22" customFormat="false" ht="15" hidden="false" customHeight="false" outlineLevel="0" collapsed="false">
      <c r="A22" s="21" t="n">
        <v>46327</v>
      </c>
      <c r="B22" s="22" t="str">
        <f aca="false">TEXT(A22,"ddd")</f>
        <v>Sun</v>
      </c>
      <c r="C22" s="22" t="str">
        <f aca="false">INDEX(Releases!$A$2:$A$13,MATCH(A22,Releases!$B$2:$B$13,1))</f>
        <v>v1.0.0</v>
      </c>
      <c r="D22" s="23"/>
      <c r="E22" s="23"/>
      <c r="F22" s="23"/>
    </row>
    <row r="23" customFormat="false" ht="15" hidden="false" customHeight="false" outlineLevel="0" collapsed="false">
      <c r="A23" s="21" t="n">
        <v>46328</v>
      </c>
      <c r="B23" s="22" t="str">
        <f aca="false">TEXT(A23,"ddd")</f>
        <v>Mon</v>
      </c>
      <c r="C23" s="22" t="str">
        <f aca="false">INDEX(Releases!$A$2:$A$13,MATCH(A23,Releases!$B$2:$B$13,1))</f>
        <v>v1.0.0</v>
      </c>
      <c r="D23" s="23"/>
      <c r="E23" s="23"/>
      <c r="F23" s="23"/>
    </row>
    <row r="24" customFormat="false" ht="15" hidden="false" customHeight="false" outlineLevel="0" collapsed="false">
      <c r="A24" s="21" t="n">
        <v>46329</v>
      </c>
      <c r="B24" s="22" t="str">
        <f aca="false">TEXT(A24,"ddd")</f>
        <v>Tue</v>
      </c>
      <c r="C24" s="22" t="str">
        <f aca="false">INDEX(Releases!$A$2:$A$13,MATCH(A24,Releases!$B$2:$B$13,1))</f>
        <v>v1.0.0</v>
      </c>
      <c r="D24" s="23"/>
      <c r="E24" s="23"/>
      <c r="F24" s="23"/>
    </row>
    <row r="25" customFormat="false" ht="15" hidden="false" customHeight="false" outlineLevel="0" collapsed="false">
      <c r="A25" s="21" t="n">
        <v>46330</v>
      </c>
      <c r="B25" s="22" t="str">
        <f aca="false">TEXT(A25,"ddd")</f>
        <v>Wed</v>
      </c>
      <c r="C25" s="22" t="str">
        <f aca="false">INDEX(Releases!$A$2:$A$13,MATCH(A25,Releases!$B$2:$B$13,1))</f>
        <v>v1.0.0</v>
      </c>
      <c r="D25" s="23"/>
      <c r="E25" s="23"/>
      <c r="F25" s="23"/>
    </row>
    <row r="26" customFormat="false" ht="15" hidden="false" customHeight="false" outlineLevel="0" collapsed="false">
      <c r="A26" s="21" t="n">
        <v>46331</v>
      </c>
      <c r="B26" s="22" t="str">
        <f aca="false">TEXT(A26,"ddd")</f>
        <v>Thu</v>
      </c>
      <c r="C26" s="22" t="str">
        <f aca="false">INDEX(Releases!$A$2:$A$13,MATCH(A26,Releases!$B$2:$B$13,1))</f>
        <v>v1.0.0</v>
      </c>
      <c r="D26" s="23"/>
      <c r="E26" s="23"/>
      <c r="F26" s="23"/>
    </row>
    <row r="27" customFormat="false" ht="15" hidden="false" customHeight="false" outlineLevel="0" collapsed="false">
      <c r="A27" s="21" t="n">
        <v>46332</v>
      </c>
      <c r="B27" s="22" t="str">
        <f aca="false">TEXT(A27,"ddd")</f>
        <v>Fri</v>
      </c>
      <c r="C27" s="22" t="str">
        <f aca="false">INDEX(Releases!$A$2:$A$13,MATCH(A27,Releases!$B$2:$B$13,1))</f>
        <v>v1.0.0</v>
      </c>
      <c r="D27" s="23"/>
      <c r="E27" s="23"/>
      <c r="F27" s="23"/>
    </row>
    <row r="28" customFormat="false" ht="15" hidden="false" customHeight="false" outlineLevel="0" collapsed="false">
      <c r="A28" s="21" t="n">
        <v>46333</v>
      </c>
      <c r="B28" s="22" t="str">
        <f aca="false">TEXT(A28,"ddd")</f>
        <v>Sat</v>
      </c>
      <c r="C28" s="22" t="str">
        <f aca="false">INDEX(Releases!$A$2:$A$13,MATCH(A28,Releases!$B$2:$B$13,1))</f>
        <v>v1.0.0</v>
      </c>
      <c r="D28" s="23"/>
      <c r="E28" s="23"/>
      <c r="F28" s="23"/>
    </row>
    <row r="29" customFormat="false" ht="15" hidden="false" customHeight="false" outlineLevel="0" collapsed="false">
      <c r="A29" s="21" t="n">
        <v>46334</v>
      </c>
      <c r="B29" s="22" t="str">
        <f aca="false">TEXT(A29,"ddd")</f>
        <v>Sun</v>
      </c>
      <c r="C29" s="22" t="str">
        <f aca="false">INDEX(Releases!$A$2:$A$13,MATCH(A29,Releases!$B$2:$B$13,1))</f>
        <v>v1.0.0</v>
      </c>
      <c r="D29" s="23"/>
      <c r="E29" s="23"/>
      <c r="F29" s="23"/>
    </row>
    <row r="30" customFormat="false" ht="15" hidden="false" customHeight="false" outlineLevel="0" collapsed="false">
      <c r="A30" s="21" t="n">
        <v>46335</v>
      </c>
      <c r="B30" s="22" t="str">
        <f aca="false">TEXT(A30,"ddd")</f>
        <v>Mon</v>
      </c>
      <c r="C30" s="22" t="str">
        <f aca="false">INDEX(Releases!$A$2:$A$13,MATCH(A30,Releases!$B$2:$B$13,1))</f>
        <v>v1.0.0</v>
      </c>
      <c r="D30" s="23"/>
      <c r="E30" s="23"/>
      <c r="F30" s="23"/>
    </row>
    <row r="31" customFormat="false" ht="15" hidden="false" customHeight="false" outlineLevel="0" collapsed="false">
      <c r="A31" s="21" t="n">
        <v>46336</v>
      </c>
      <c r="B31" s="22" t="str">
        <f aca="false">TEXT(A31,"ddd")</f>
        <v>Tue</v>
      </c>
      <c r="C31" s="22" t="str">
        <f aca="false">INDEX(Releases!$A$2:$A$13,MATCH(A31,Releases!$B$2:$B$13,1))</f>
        <v>v1.0.0</v>
      </c>
      <c r="D31" s="23"/>
      <c r="E31" s="23"/>
      <c r="F31" s="23"/>
    </row>
    <row r="32" customFormat="false" ht="15" hidden="false" customHeight="false" outlineLevel="0" collapsed="false">
      <c r="A32" s="21" t="n">
        <v>46337</v>
      </c>
      <c r="B32" s="22" t="str">
        <f aca="false">TEXT(A32,"ddd")</f>
        <v>Wed</v>
      </c>
      <c r="C32" s="22" t="str">
        <f aca="false">INDEX(Releases!$A$2:$A$13,MATCH(A32,Releases!$B$2:$B$13,1))</f>
        <v>v1.0.0</v>
      </c>
      <c r="D32" s="23"/>
      <c r="E32" s="23"/>
      <c r="F32" s="23"/>
    </row>
    <row r="33" customFormat="false" ht="15" hidden="false" customHeight="false" outlineLevel="0" collapsed="false">
      <c r="A33" s="21" t="n">
        <v>46338</v>
      </c>
      <c r="B33" s="22" t="str">
        <f aca="false">TEXT(A33,"ddd")</f>
        <v>Thu</v>
      </c>
      <c r="C33" s="22" t="str">
        <f aca="false">INDEX(Releases!$A$2:$A$13,MATCH(A33,Releases!$B$2:$B$13,1))</f>
        <v>v1.0.0</v>
      </c>
      <c r="D33" s="23"/>
      <c r="E33" s="23"/>
      <c r="F33" s="23"/>
    </row>
    <row r="34" customFormat="false" ht="15" hidden="false" customHeight="false" outlineLevel="0" collapsed="false">
      <c r="A34" s="21" t="n">
        <v>46339</v>
      </c>
      <c r="B34" s="22" t="str">
        <f aca="false">TEXT(A34,"ddd")</f>
        <v>Fri</v>
      </c>
      <c r="C34" s="22" t="str">
        <f aca="false">INDEX(Releases!$A$2:$A$13,MATCH(A34,Releases!$B$2:$B$13,1))</f>
        <v>v1.0.0</v>
      </c>
      <c r="D34" s="23"/>
      <c r="E34" s="23"/>
      <c r="F34" s="23"/>
    </row>
    <row r="35" customFormat="false" ht="15" hidden="false" customHeight="false" outlineLevel="0" collapsed="false">
      <c r="A35" s="21" t="n">
        <v>46340</v>
      </c>
      <c r="B35" s="22" t="str">
        <f aca="false">TEXT(A35,"ddd")</f>
        <v>Sat</v>
      </c>
      <c r="C35" s="22" t="str">
        <f aca="false">INDEX(Releases!$A$2:$A$13,MATCH(A35,Releases!$B$2:$B$13,1))</f>
        <v>v1.0.0</v>
      </c>
      <c r="D35" s="23"/>
      <c r="E35" s="23"/>
      <c r="F35" s="23"/>
    </row>
    <row r="36" customFormat="false" ht="15" hidden="false" customHeight="false" outlineLevel="0" collapsed="false">
      <c r="A36" s="21" t="n">
        <v>46341</v>
      </c>
      <c r="B36" s="22" t="str">
        <f aca="false">TEXT(A36,"ddd")</f>
        <v>Sun</v>
      </c>
      <c r="C36" s="22" t="str">
        <f aca="false">INDEX(Releases!$A$2:$A$13,MATCH(A36,Releases!$B$2:$B$13,1))</f>
        <v>v1.0.0</v>
      </c>
      <c r="D36" s="23"/>
      <c r="E36" s="23"/>
      <c r="F36" s="23"/>
    </row>
    <row r="37" customFormat="false" ht="15" hidden="false" customHeight="false" outlineLevel="0" collapsed="false">
      <c r="A37" s="21" t="n">
        <v>46342</v>
      </c>
      <c r="B37" s="22" t="str">
        <f aca="false">TEXT(A37,"ddd")</f>
        <v>Mon</v>
      </c>
      <c r="C37" s="22" t="str">
        <f aca="false">INDEX(Releases!$A$2:$A$13,MATCH(A37,Releases!$B$2:$B$13,1))</f>
        <v>v1.1.0</v>
      </c>
      <c r="D37" s="23"/>
      <c r="E37" s="23"/>
      <c r="F37" s="23"/>
    </row>
    <row r="38" customFormat="false" ht="15" hidden="false" customHeight="false" outlineLevel="0" collapsed="false">
      <c r="A38" s="21" t="n">
        <v>46343</v>
      </c>
      <c r="B38" s="22" t="str">
        <f aca="false">TEXT(A38,"ddd")</f>
        <v>Tue</v>
      </c>
      <c r="C38" s="22" t="str">
        <f aca="false">INDEX(Releases!$A$2:$A$13,MATCH(A38,Releases!$B$2:$B$13,1))</f>
        <v>v1.1.0</v>
      </c>
      <c r="D38" s="23"/>
      <c r="E38" s="23"/>
      <c r="F38" s="23"/>
    </row>
    <row r="39" customFormat="false" ht="15" hidden="false" customHeight="false" outlineLevel="0" collapsed="false">
      <c r="A39" s="21" t="n">
        <v>46344</v>
      </c>
      <c r="B39" s="22" t="str">
        <f aca="false">TEXT(A39,"ddd")</f>
        <v>Wed</v>
      </c>
      <c r="C39" s="22" t="str">
        <f aca="false">INDEX(Releases!$A$2:$A$13,MATCH(A39,Releases!$B$2:$B$13,1))</f>
        <v>v1.1.0</v>
      </c>
      <c r="D39" s="23"/>
      <c r="E39" s="23"/>
      <c r="F39" s="23"/>
    </row>
    <row r="40" customFormat="false" ht="15" hidden="false" customHeight="false" outlineLevel="0" collapsed="false">
      <c r="A40" s="21" t="n">
        <v>46345</v>
      </c>
      <c r="B40" s="22" t="str">
        <f aca="false">TEXT(A40,"ddd")</f>
        <v>Thu</v>
      </c>
      <c r="C40" s="22" t="str">
        <f aca="false">INDEX(Releases!$A$2:$A$13,MATCH(A40,Releases!$B$2:$B$13,1))</f>
        <v>v1.1.0</v>
      </c>
      <c r="D40" s="23"/>
      <c r="E40" s="23"/>
      <c r="F40" s="23"/>
    </row>
    <row r="41" customFormat="false" ht="15" hidden="false" customHeight="false" outlineLevel="0" collapsed="false">
      <c r="A41" s="21" t="n">
        <v>46346</v>
      </c>
      <c r="B41" s="22" t="str">
        <f aca="false">TEXT(A41,"ddd")</f>
        <v>Fri</v>
      </c>
      <c r="C41" s="22" t="str">
        <f aca="false">INDEX(Releases!$A$2:$A$13,MATCH(A41,Releases!$B$2:$B$13,1))</f>
        <v>v1.1.0</v>
      </c>
      <c r="D41" s="23"/>
      <c r="E41" s="23"/>
      <c r="F41" s="23"/>
    </row>
    <row r="42" customFormat="false" ht="15" hidden="false" customHeight="false" outlineLevel="0" collapsed="false">
      <c r="A42" s="21" t="n">
        <v>46347</v>
      </c>
      <c r="B42" s="22" t="str">
        <f aca="false">TEXT(A42,"ddd")</f>
        <v>Sat</v>
      </c>
      <c r="C42" s="22" t="str">
        <f aca="false">INDEX(Releases!$A$2:$A$13,MATCH(A42,Releases!$B$2:$B$13,1))</f>
        <v>v1.1.0</v>
      </c>
      <c r="D42" s="23"/>
      <c r="E42" s="23"/>
      <c r="F42" s="23"/>
    </row>
    <row r="43" customFormat="false" ht="15" hidden="false" customHeight="false" outlineLevel="0" collapsed="false">
      <c r="A43" s="21" t="n">
        <v>46348</v>
      </c>
      <c r="B43" s="22" t="str">
        <f aca="false">TEXT(A43,"ddd")</f>
        <v>Sun</v>
      </c>
      <c r="C43" s="22" t="str">
        <f aca="false">INDEX(Releases!$A$2:$A$13,MATCH(A43,Releases!$B$2:$B$13,1))</f>
        <v>v1.1.0</v>
      </c>
      <c r="D43" s="23"/>
      <c r="E43" s="23"/>
      <c r="F43" s="23"/>
    </row>
    <row r="44" customFormat="false" ht="15" hidden="false" customHeight="false" outlineLevel="0" collapsed="false">
      <c r="A44" s="21" t="n">
        <v>46349</v>
      </c>
      <c r="B44" s="22" t="str">
        <f aca="false">TEXT(A44,"ddd")</f>
        <v>Mon</v>
      </c>
      <c r="C44" s="22" t="str">
        <f aca="false">INDEX(Releases!$A$2:$A$13,MATCH(A44,Releases!$B$2:$B$13,1))</f>
        <v>v1.1.0</v>
      </c>
      <c r="D44" s="23"/>
      <c r="E44" s="23"/>
      <c r="F44" s="23"/>
    </row>
    <row r="45" customFormat="false" ht="15" hidden="false" customHeight="false" outlineLevel="0" collapsed="false">
      <c r="A45" s="21" t="n">
        <v>46350</v>
      </c>
      <c r="B45" s="22" t="str">
        <f aca="false">TEXT(A45,"ddd")</f>
        <v>Tue</v>
      </c>
      <c r="C45" s="22" t="str">
        <f aca="false">INDEX(Releases!$A$2:$A$13,MATCH(A45,Releases!$B$2:$B$13,1))</f>
        <v>v1.1.0</v>
      </c>
      <c r="D45" s="23"/>
      <c r="E45" s="23"/>
      <c r="F45" s="23"/>
    </row>
    <row r="46" customFormat="false" ht="15" hidden="false" customHeight="false" outlineLevel="0" collapsed="false">
      <c r="A46" s="21" t="n">
        <v>46351</v>
      </c>
      <c r="B46" s="22" t="str">
        <f aca="false">TEXT(A46,"ddd")</f>
        <v>Wed</v>
      </c>
      <c r="C46" s="22" t="str">
        <f aca="false">INDEX(Releases!$A$2:$A$13,MATCH(A46,Releases!$B$2:$B$13,1))</f>
        <v>v1.1.0</v>
      </c>
      <c r="D46" s="23"/>
      <c r="E46" s="23"/>
      <c r="F46" s="23"/>
    </row>
    <row r="47" customFormat="false" ht="15" hidden="false" customHeight="false" outlineLevel="0" collapsed="false">
      <c r="A47" s="21" t="n">
        <v>46352</v>
      </c>
      <c r="B47" s="22" t="str">
        <f aca="false">TEXT(A47,"ddd")</f>
        <v>Thu</v>
      </c>
      <c r="C47" s="22" t="str">
        <f aca="false">INDEX(Releases!$A$2:$A$13,MATCH(A47,Releases!$B$2:$B$13,1))</f>
        <v>v1.1.0</v>
      </c>
      <c r="D47" s="23"/>
      <c r="E47" s="23"/>
      <c r="F47" s="23"/>
    </row>
    <row r="48" customFormat="false" ht="15" hidden="false" customHeight="false" outlineLevel="0" collapsed="false">
      <c r="A48" s="21" t="n">
        <v>46353</v>
      </c>
      <c r="B48" s="22" t="str">
        <f aca="false">TEXT(A48,"ddd")</f>
        <v>Fri</v>
      </c>
      <c r="C48" s="22" t="str">
        <f aca="false">INDEX(Releases!$A$2:$A$13,MATCH(A48,Releases!$B$2:$B$13,1))</f>
        <v>v1.1.0</v>
      </c>
      <c r="D48" s="23"/>
      <c r="E48" s="23"/>
      <c r="F48" s="23"/>
    </row>
    <row r="49" customFormat="false" ht="15" hidden="false" customHeight="false" outlineLevel="0" collapsed="false">
      <c r="A49" s="21" t="n">
        <v>46354</v>
      </c>
      <c r="B49" s="22" t="str">
        <f aca="false">TEXT(A49,"ddd")</f>
        <v>Sat</v>
      </c>
      <c r="C49" s="22" t="str">
        <f aca="false">INDEX(Releases!$A$2:$A$13,MATCH(A49,Releases!$B$2:$B$13,1))</f>
        <v>v1.1.0</v>
      </c>
      <c r="D49" s="23"/>
      <c r="E49" s="23"/>
      <c r="F49" s="23"/>
    </row>
    <row r="50" customFormat="false" ht="15" hidden="false" customHeight="false" outlineLevel="0" collapsed="false">
      <c r="A50" s="21" t="n">
        <v>46355</v>
      </c>
      <c r="B50" s="22" t="str">
        <f aca="false">TEXT(A50,"ddd")</f>
        <v>Sun</v>
      </c>
      <c r="C50" s="22" t="str">
        <f aca="false">INDEX(Releases!$A$2:$A$13,MATCH(A50,Releases!$B$2:$B$13,1))</f>
        <v>v1.1.0</v>
      </c>
      <c r="D50" s="23"/>
      <c r="E50" s="23"/>
      <c r="F50" s="23"/>
    </row>
    <row r="51" customFormat="false" ht="15" hidden="false" customHeight="false" outlineLevel="0" collapsed="false">
      <c r="A51" s="21" t="n">
        <v>46356</v>
      </c>
      <c r="B51" s="22" t="str">
        <f aca="false">TEXT(A51,"ddd")</f>
        <v>Mon</v>
      </c>
      <c r="C51" s="22" t="str">
        <f aca="false">INDEX(Releases!$A$2:$A$13,MATCH(A51,Releases!$B$2:$B$13,1))</f>
        <v>v1.1.0</v>
      </c>
      <c r="D51" s="23"/>
      <c r="E51" s="23"/>
      <c r="F51" s="23"/>
    </row>
    <row r="52" customFormat="false" ht="15" hidden="false" customHeight="false" outlineLevel="0" collapsed="false">
      <c r="A52" s="21" t="n">
        <v>46357</v>
      </c>
      <c r="B52" s="22" t="str">
        <f aca="false">TEXT(A52,"ddd")</f>
        <v>Tue</v>
      </c>
      <c r="C52" s="22" t="str">
        <f aca="false">INDEX(Releases!$A$2:$A$13,MATCH(A52,Releases!$B$2:$B$13,1))</f>
        <v>v1.1.0</v>
      </c>
      <c r="D52" s="23"/>
      <c r="E52" s="23"/>
      <c r="F52" s="23"/>
    </row>
    <row r="53" customFormat="false" ht="15" hidden="false" customHeight="false" outlineLevel="0" collapsed="false">
      <c r="A53" s="21" t="n">
        <v>46358</v>
      </c>
      <c r="B53" s="22" t="str">
        <f aca="false">TEXT(A53,"ddd")</f>
        <v>Wed</v>
      </c>
      <c r="C53" s="22" t="str">
        <f aca="false">INDEX(Releases!$A$2:$A$13,MATCH(A53,Releases!$B$2:$B$13,1))</f>
        <v>v1.1.0</v>
      </c>
      <c r="D53" s="23"/>
      <c r="E53" s="23"/>
      <c r="F53" s="23"/>
    </row>
    <row r="54" customFormat="false" ht="15" hidden="false" customHeight="false" outlineLevel="0" collapsed="false">
      <c r="A54" s="21" t="n">
        <v>46359</v>
      </c>
      <c r="B54" s="22" t="str">
        <f aca="false">TEXT(A54,"ddd")</f>
        <v>Thu</v>
      </c>
      <c r="C54" s="22" t="str">
        <f aca="false">INDEX(Releases!$A$2:$A$13,MATCH(A54,Releases!$B$2:$B$13,1))</f>
        <v>v1.1.0</v>
      </c>
      <c r="D54" s="23"/>
      <c r="E54" s="23"/>
      <c r="F54" s="23"/>
    </row>
    <row r="55" customFormat="false" ht="15" hidden="false" customHeight="false" outlineLevel="0" collapsed="false">
      <c r="A55" s="21" t="n">
        <v>46360</v>
      </c>
      <c r="B55" s="22" t="str">
        <f aca="false">TEXT(A55,"ddd")</f>
        <v>Fri</v>
      </c>
      <c r="C55" s="22" t="str">
        <f aca="false">INDEX(Releases!$A$2:$A$13,MATCH(A55,Releases!$B$2:$B$13,1))</f>
        <v>v1.1.0</v>
      </c>
      <c r="D55" s="23"/>
      <c r="E55" s="23"/>
      <c r="F55" s="23"/>
    </row>
    <row r="56" customFormat="false" ht="15" hidden="false" customHeight="false" outlineLevel="0" collapsed="false">
      <c r="A56" s="21" t="n">
        <v>46361</v>
      </c>
      <c r="B56" s="22" t="str">
        <f aca="false">TEXT(A56,"ddd")</f>
        <v>Sat</v>
      </c>
      <c r="C56" s="22" t="str">
        <f aca="false">INDEX(Releases!$A$2:$A$13,MATCH(A56,Releases!$B$2:$B$13,1))</f>
        <v>v1.1.0</v>
      </c>
      <c r="D56" s="23"/>
      <c r="E56" s="23"/>
      <c r="F56" s="23"/>
    </row>
    <row r="57" customFormat="false" ht="15" hidden="false" customHeight="false" outlineLevel="0" collapsed="false">
      <c r="A57" s="21" t="n">
        <v>46362</v>
      </c>
      <c r="B57" s="22" t="str">
        <f aca="false">TEXT(A57,"ddd")</f>
        <v>Sun</v>
      </c>
      <c r="C57" s="22" t="str">
        <f aca="false">INDEX(Releases!$A$2:$A$13,MATCH(A57,Releases!$B$2:$B$13,1))</f>
        <v>v1.1.0</v>
      </c>
      <c r="D57" s="23"/>
      <c r="E57" s="23"/>
      <c r="F57" s="23"/>
    </row>
    <row r="58" customFormat="false" ht="15" hidden="false" customHeight="false" outlineLevel="0" collapsed="false">
      <c r="A58" s="21" t="n">
        <v>46363</v>
      </c>
      <c r="B58" s="22" t="str">
        <f aca="false">TEXT(A58,"ddd")</f>
        <v>Mon</v>
      </c>
      <c r="C58" s="22" t="str">
        <f aca="false">INDEX(Releases!$A$2:$A$13,MATCH(A58,Releases!$B$2:$B$13,1))</f>
        <v>v1.1.0</v>
      </c>
      <c r="D58" s="23"/>
      <c r="E58" s="23"/>
      <c r="F58" s="23"/>
    </row>
    <row r="59" customFormat="false" ht="15" hidden="false" customHeight="false" outlineLevel="0" collapsed="false">
      <c r="A59" s="21" t="n">
        <v>46364</v>
      </c>
      <c r="B59" s="22" t="str">
        <f aca="false">TEXT(A59,"ddd")</f>
        <v>Tue</v>
      </c>
      <c r="C59" s="22" t="str">
        <f aca="false">INDEX(Releases!$A$2:$A$13,MATCH(A59,Releases!$B$2:$B$13,1))</f>
        <v>v1.1.0</v>
      </c>
      <c r="D59" s="23"/>
      <c r="E59" s="23"/>
      <c r="F59" s="23"/>
    </row>
    <row r="60" customFormat="false" ht="15" hidden="false" customHeight="false" outlineLevel="0" collapsed="false">
      <c r="A60" s="21" t="n">
        <v>46365</v>
      </c>
      <c r="B60" s="22" t="str">
        <f aca="false">TEXT(A60,"ddd")</f>
        <v>Wed</v>
      </c>
      <c r="C60" s="22" t="str">
        <f aca="false">INDEX(Releases!$A$2:$A$13,MATCH(A60,Releases!$B$2:$B$13,1))</f>
        <v>v1.1.0</v>
      </c>
      <c r="D60" s="23"/>
      <c r="E60" s="23"/>
      <c r="F60" s="23"/>
    </row>
    <row r="61" customFormat="false" ht="15" hidden="false" customHeight="false" outlineLevel="0" collapsed="false">
      <c r="A61" s="21" t="n">
        <v>46366</v>
      </c>
      <c r="B61" s="22" t="str">
        <f aca="false">TEXT(A61,"ddd")</f>
        <v>Thu</v>
      </c>
      <c r="C61" s="22" t="str">
        <f aca="false">INDEX(Releases!$A$2:$A$13,MATCH(A61,Releases!$B$2:$B$13,1))</f>
        <v>v1.1.0</v>
      </c>
      <c r="D61" s="23"/>
      <c r="E61" s="23"/>
      <c r="F61" s="23"/>
    </row>
    <row r="62" customFormat="false" ht="15" hidden="false" customHeight="false" outlineLevel="0" collapsed="false">
      <c r="A62" s="21" t="n">
        <v>46367</v>
      </c>
      <c r="B62" s="22" t="str">
        <f aca="false">TEXT(A62,"ddd")</f>
        <v>Fri</v>
      </c>
      <c r="C62" s="22" t="str">
        <f aca="false">INDEX(Releases!$A$2:$A$13,MATCH(A62,Releases!$B$2:$B$13,1))</f>
        <v>v1.1.0</v>
      </c>
      <c r="D62" s="23"/>
      <c r="E62" s="23"/>
      <c r="F62" s="23"/>
    </row>
    <row r="63" customFormat="false" ht="15" hidden="false" customHeight="false" outlineLevel="0" collapsed="false">
      <c r="A63" s="21" t="n">
        <v>46368</v>
      </c>
      <c r="B63" s="22" t="str">
        <f aca="false">TEXT(A63,"ddd")</f>
        <v>Sat</v>
      </c>
      <c r="C63" s="22" t="str">
        <f aca="false">INDEX(Releases!$A$2:$A$13,MATCH(A63,Releases!$B$2:$B$13,1))</f>
        <v>v1.1.0</v>
      </c>
      <c r="D63" s="23"/>
      <c r="E63" s="23"/>
      <c r="F63" s="23"/>
    </row>
    <row r="64" customFormat="false" ht="15" hidden="false" customHeight="false" outlineLevel="0" collapsed="false">
      <c r="A64" s="21" t="n">
        <v>46369</v>
      </c>
      <c r="B64" s="22" t="str">
        <f aca="false">TEXT(A64,"ddd")</f>
        <v>Sun</v>
      </c>
      <c r="C64" s="22" t="str">
        <f aca="false">INDEX(Releases!$A$2:$A$13,MATCH(A64,Releases!$B$2:$B$13,1))</f>
        <v>v1.1.0</v>
      </c>
      <c r="D64" s="23"/>
      <c r="E64" s="23"/>
      <c r="F64" s="23"/>
    </row>
    <row r="65" customFormat="false" ht="15" hidden="false" customHeight="false" outlineLevel="0" collapsed="false">
      <c r="A65" s="21" t="n">
        <v>46370</v>
      </c>
      <c r="B65" s="22" t="str">
        <f aca="false">TEXT(A65,"ddd")</f>
        <v>Mon</v>
      </c>
      <c r="C65" s="22" t="str">
        <f aca="false">INDEX(Releases!$A$2:$A$13,MATCH(A65,Releases!$B$2:$B$13,1))</f>
        <v>v1.1.0</v>
      </c>
      <c r="D65" s="23"/>
      <c r="E65" s="23"/>
      <c r="F65" s="23"/>
    </row>
    <row r="66" customFormat="false" ht="15" hidden="false" customHeight="false" outlineLevel="0" collapsed="false">
      <c r="A66" s="21" t="n">
        <v>46371</v>
      </c>
      <c r="B66" s="22" t="str">
        <f aca="false">TEXT(A66,"ddd")</f>
        <v>Tue</v>
      </c>
      <c r="C66" s="22" t="str">
        <f aca="false">INDEX(Releases!$A$2:$A$13,MATCH(A66,Releases!$B$2:$B$13,1))</f>
        <v>v1.1.0</v>
      </c>
      <c r="D66" s="23"/>
      <c r="E66" s="23"/>
      <c r="F66" s="23"/>
    </row>
    <row r="67" customFormat="false" ht="15" hidden="false" customHeight="false" outlineLevel="0" collapsed="false">
      <c r="A67" s="21" t="n">
        <v>46372</v>
      </c>
      <c r="B67" s="22" t="str">
        <f aca="false">TEXT(A67,"ddd")</f>
        <v>Wed</v>
      </c>
      <c r="C67" s="22" t="str">
        <f aca="false">INDEX(Releases!$A$2:$A$13,MATCH(A67,Releases!$B$2:$B$13,1))</f>
        <v>v1.2.0</v>
      </c>
      <c r="D67" s="23"/>
      <c r="E67" s="23"/>
      <c r="F67" s="23"/>
    </row>
    <row r="68" customFormat="false" ht="15" hidden="false" customHeight="false" outlineLevel="0" collapsed="false">
      <c r="A68" s="21" t="n">
        <v>46373</v>
      </c>
      <c r="B68" s="22" t="str">
        <f aca="false">TEXT(A68,"ddd")</f>
        <v>Thu</v>
      </c>
      <c r="C68" s="22" t="str">
        <f aca="false">INDEX(Releases!$A$2:$A$13,MATCH(A68,Releases!$B$2:$B$13,1))</f>
        <v>v1.2.0</v>
      </c>
      <c r="D68" s="23"/>
      <c r="E68" s="23"/>
      <c r="F68" s="23"/>
    </row>
    <row r="69" customFormat="false" ht="15" hidden="false" customHeight="false" outlineLevel="0" collapsed="false">
      <c r="A69" s="21" t="n">
        <v>46374</v>
      </c>
      <c r="B69" s="22" t="str">
        <f aca="false">TEXT(A69,"ddd")</f>
        <v>Fri</v>
      </c>
      <c r="C69" s="22" t="str">
        <f aca="false">INDEX(Releases!$A$2:$A$13,MATCH(A69,Releases!$B$2:$B$13,1))</f>
        <v>v1.2.0</v>
      </c>
      <c r="D69" s="23"/>
      <c r="E69" s="23"/>
      <c r="F69" s="23"/>
    </row>
    <row r="70" customFormat="false" ht="15" hidden="false" customHeight="false" outlineLevel="0" collapsed="false">
      <c r="A70" s="21" t="n">
        <v>46375</v>
      </c>
      <c r="B70" s="22" t="str">
        <f aca="false">TEXT(A70,"ddd")</f>
        <v>Sat</v>
      </c>
      <c r="C70" s="22" t="str">
        <f aca="false">INDEX(Releases!$A$2:$A$13,MATCH(A70,Releases!$B$2:$B$13,1))</f>
        <v>v1.2.0</v>
      </c>
      <c r="D70" s="23"/>
      <c r="E70" s="23"/>
      <c r="F70" s="23"/>
    </row>
    <row r="71" customFormat="false" ht="15" hidden="false" customHeight="false" outlineLevel="0" collapsed="false">
      <c r="A71" s="21" t="n">
        <v>46376</v>
      </c>
      <c r="B71" s="22" t="str">
        <f aca="false">TEXT(A71,"ddd")</f>
        <v>Sun</v>
      </c>
      <c r="C71" s="22" t="str">
        <f aca="false">INDEX(Releases!$A$2:$A$13,MATCH(A71,Releases!$B$2:$B$13,1))</f>
        <v>v1.2.0</v>
      </c>
      <c r="D71" s="23"/>
      <c r="E71" s="23"/>
      <c r="F71" s="23"/>
    </row>
    <row r="72" customFormat="false" ht="15" hidden="false" customHeight="false" outlineLevel="0" collapsed="false">
      <c r="A72" s="21" t="n">
        <v>46377</v>
      </c>
      <c r="B72" s="22" t="str">
        <f aca="false">TEXT(A72,"ddd")</f>
        <v>Mon</v>
      </c>
      <c r="C72" s="22" t="str">
        <f aca="false">INDEX(Releases!$A$2:$A$13,MATCH(A72,Releases!$B$2:$B$13,1))</f>
        <v>v1.2.0</v>
      </c>
      <c r="D72" s="23"/>
      <c r="E72" s="23"/>
      <c r="F72" s="23"/>
    </row>
    <row r="73" customFormat="false" ht="15" hidden="false" customHeight="false" outlineLevel="0" collapsed="false">
      <c r="A73" s="21" t="n">
        <v>46378</v>
      </c>
      <c r="B73" s="22" t="str">
        <f aca="false">TEXT(A73,"ddd")</f>
        <v>Tue</v>
      </c>
      <c r="C73" s="22" t="str">
        <f aca="false">INDEX(Releases!$A$2:$A$13,MATCH(A73,Releases!$B$2:$B$13,1))</f>
        <v>v1.2.0</v>
      </c>
      <c r="D73" s="23"/>
      <c r="E73" s="23"/>
      <c r="F73" s="23"/>
    </row>
    <row r="74" customFormat="false" ht="15" hidden="false" customHeight="false" outlineLevel="0" collapsed="false">
      <c r="A74" s="21" t="n">
        <v>46379</v>
      </c>
      <c r="B74" s="22" t="str">
        <f aca="false">TEXT(A74,"ddd")</f>
        <v>Wed</v>
      </c>
      <c r="C74" s="22" t="str">
        <f aca="false">INDEX(Releases!$A$2:$A$13,MATCH(A74,Releases!$B$2:$B$13,1))</f>
        <v>v1.2.0</v>
      </c>
      <c r="D74" s="23"/>
      <c r="E74" s="23"/>
      <c r="F74" s="23"/>
    </row>
    <row r="75" customFormat="false" ht="15" hidden="false" customHeight="false" outlineLevel="0" collapsed="false">
      <c r="A75" s="21" t="n">
        <v>46380</v>
      </c>
      <c r="B75" s="22" t="str">
        <f aca="false">TEXT(A75,"ddd")</f>
        <v>Thu</v>
      </c>
      <c r="C75" s="22" t="str">
        <f aca="false">INDEX(Releases!$A$2:$A$13,MATCH(A75,Releases!$B$2:$B$13,1))</f>
        <v>v1.2.0</v>
      </c>
      <c r="D75" s="23"/>
      <c r="E75" s="23"/>
      <c r="F75" s="23"/>
    </row>
    <row r="76" customFormat="false" ht="15" hidden="false" customHeight="false" outlineLevel="0" collapsed="false">
      <c r="A76" s="21" t="n">
        <v>46381</v>
      </c>
      <c r="B76" s="22" t="str">
        <f aca="false">TEXT(A76,"ddd")</f>
        <v>Fri</v>
      </c>
      <c r="C76" s="22" t="str">
        <f aca="false">INDEX(Releases!$A$2:$A$13,MATCH(A76,Releases!$B$2:$B$13,1))</f>
        <v>v1.2.0</v>
      </c>
      <c r="D76" s="23"/>
      <c r="E76" s="23"/>
      <c r="F76" s="23"/>
    </row>
    <row r="77" customFormat="false" ht="15" hidden="false" customHeight="false" outlineLevel="0" collapsed="false">
      <c r="A77" s="21" t="n">
        <v>46382</v>
      </c>
      <c r="B77" s="22" t="str">
        <f aca="false">TEXT(A77,"ddd")</f>
        <v>Sat</v>
      </c>
      <c r="C77" s="22" t="str">
        <f aca="false">INDEX(Releases!$A$2:$A$13,MATCH(A77,Releases!$B$2:$B$13,1))</f>
        <v>v1.2.0</v>
      </c>
      <c r="D77" s="23"/>
      <c r="E77" s="23"/>
      <c r="F77" s="23"/>
    </row>
    <row r="78" customFormat="false" ht="15" hidden="false" customHeight="false" outlineLevel="0" collapsed="false">
      <c r="A78" s="21" t="n">
        <v>46383</v>
      </c>
      <c r="B78" s="22" t="str">
        <f aca="false">TEXT(A78,"ddd")</f>
        <v>Sun</v>
      </c>
      <c r="C78" s="22" t="str">
        <f aca="false">INDEX(Releases!$A$2:$A$13,MATCH(A78,Releases!$B$2:$B$13,1))</f>
        <v>v1.2.0</v>
      </c>
      <c r="D78" s="23"/>
      <c r="E78" s="23"/>
      <c r="F78" s="23"/>
    </row>
    <row r="79" customFormat="false" ht="15" hidden="false" customHeight="false" outlineLevel="0" collapsed="false">
      <c r="A79" s="21" t="n">
        <v>46384</v>
      </c>
      <c r="B79" s="22" t="str">
        <f aca="false">TEXT(A79,"ddd")</f>
        <v>Mon</v>
      </c>
      <c r="C79" s="22" t="str">
        <f aca="false">INDEX(Releases!$A$2:$A$13,MATCH(A79,Releases!$B$2:$B$13,1))</f>
        <v>v1.2.0</v>
      </c>
      <c r="D79" s="23"/>
      <c r="E79" s="23"/>
      <c r="F79" s="23"/>
    </row>
    <row r="80" customFormat="false" ht="15" hidden="false" customHeight="false" outlineLevel="0" collapsed="false">
      <c r="A80" s="21" t="n">
        <v>46385</v>
      </c>
      <c r="B80" s="22" t="str">
        <f aca="false">TEXT(A80,"ddd")</f>
        <v>Tue</v>
      </c>
      <c r="C80" s="22" t="str">
        <f aca="false">INDEX(Releases!$A$2:$A$13,MATCH(A80,Releases!$B$2:$B$13,1))</f>
        <v>v1.2.0</v>
      </c>
      <c r="D80" s="23"/>
      <c r="E80" s="23"/>
      <c r="F80" s="23"/>
    </row>
    <row r="81" customFormat="false" ht="15" hidden="false" customHeight="false" outlineLevel="0" collapsed="false">
      <c r="A81" s="21" t="n">
        <v>46386</v>
      </c>
      <c r="B81" s="22" t="str">
        <f aca="false">TEXT(A81,"ddd")</f>
        <v>Wed</v>
      </c>
      <c r="C81" s="22" t="str">
        <f aca="false">INDEX(Releases!$A$2:$A$13,MATCH(A81,Releases!$B$2:$B$13,1))</f>
        <v>v1.2.0</v>
      </c>
      <c r="D81" s="23"/>
      <c r="E81" s="23"/>
      <c r="F81" s="23"/>
    </row>
    <row r="82" customFormat="false" ht="15" hidden="false" customHeight="false" outlineLevel="0" collapsed="false">
      <c r="A82" s="21" t="n">
        <v>46387</v>
      </c>
      <c r="B82" s="22" t="str">
        <f aca="false">TEXT(A82,"ddd")</f>
        <v>Thu</v>
      </c>
      <c r="C82" s="22" t="str">
        <f aca="false">INDEX(Releases!$A$2:$A$13,MATCH(A82,Releases!$B$2:$B$13,1))</f>
        <v>v1.2.0</v>
      </c>
      <c r="D82" s="23"/>
      <c r="E82" s="23"/>
      <c r="F82" s="23"/>
    </row>
    <row r="83" customFormat="false" ht="15" hidden="false" customHeight="false" outlineLevel="0" collapsed="false">
      <c r="A83" s="21" t="n">
        <v>46388</v>
      </c>
      <c r="B83" s="22" t="str">
        <f aca="false">TEXT(A83,"ddd")</f>
        <v>Fri</v>
      </c>
      <c r="C83" s="22" t="str">
        <f aca="false">INDEX(Releases!$A$2:$A$13,MATCH(A83,Releases!$B$2:$B$13,1))</f>
        <v>v1.2.0</v>
      </c>
      <c r="D83" s="23"/>
      <c r="E83" s="23"/>
      <c r="F83" s="23"/>
    </row>
    <row r="84" customFormat="false" ht="15" hidden="false" customHeight="false" outlineLevel="0" collapsed="false">
      <c r="A84" s="21" t="n">
        <v>46389</v>
      </c>
      <c r="B84" s="22" t="str">
        <f aca="false">TEXT(A84,"ddd")</f>
        <v>Sat</v>
      </c>
      <c r="C84" s="22" t="str">
        <f aca="false">INDEX(Releases!$A$2:$A$13,MATCH(A84,Releases!$B$2:$B$13,1))</f>
        <v>v1.2.0</v>
      </c>
      <c r="D84" s="23"/>
      <c r="E84" s="23"/>
      <c r="F84" s="23"/>
    </row>
    <row r="85" customFormat="false" ht="15" hidden="false" customHeight="false" outlineLevel="0" collapsed="false">
      <c r="A85" s="21" t="n">
        <v>46390</v>
      </c>
      <c r="B85" s="22" t="str">
        <f aca="false">TEXT(A85,"ddd")</f>
        <v>Sun</v>
      </c>
      <c r="C85" s="22" t="str">
        <f aca="false">INDEX(Releases!$A$2:$A$13,MATCH(A85,Releases!$B$2:$B$13,1))</f>
        <v>v1.2.0</v>
      </c>
      <c r="D85" s="23"/>
      <c r="E85" s="23"/>
      <c r="F85" s="23"/>
    </row>
    <row r="86" customFormat="false" ht="15" hidden="false" customHeight="false" outlineLevel="0" collapsed="false">
      <c r="A86" s="21" t="n">
        <v>46391</v>
      </c>
      <c r="B86" s="22" t="str">
        <f aca="false">TEXT(A86,"ddd")</f>
        <v>Mon</v>
      </c>
      <c r="C86" s="22" t="str">
        <f aca="false">INDEX(Releases!$A$2:$A$13,MATCH(A86,Releases!$B$2:$B$13,1))</f>
        <v>v1.2.0</v>
      </c>
      <c r="D86" s="23"/>
      <c r="E86" s="23"/>
      <c r="F86" s="23"/>
    </row>
    <row r="87" customFormat="false" ht="15" hidden="false" customHeight="false" outlineLevel="0" collapsed="false">
      <c r="A87" s="21" t="n">
        <v>46392</v>
      </c>
      <c r="B87" s="22" t="str">
        <f aca="false">TEXT(A87,"ddd")</f>
        <v>Tue</v>
      </c>
      <c r="C87" s="22" t="str">
        <f aca="false">INDEX(Releases!$A$2:$A$13,MATCH(A87,Releases!$B$2:$B$13,1))</f>
        <v>v1.2.0</v>
      </c>
      <c r="D87" s="23"/>
      <c r="E87" s="23"/>
      <c r="F87" s="23"/>
    </row>
    <row r="88" customFormat="false" ht="15" hidden="false" customHeight="false" outlineLevel="0" collapsed="false">
      <c r="A88" s="21" t="n">
        <v>46393</v>
      </c>
      <c r="B88" s="22" t="str">
        <f aca="false">TEXT(A88,"ddd")</f>
        <v>Wed</v>
      </c>
      <c r="C88" s="22" t="str">
        <f aca="false">INDEX(Releases!$A$2:$A$13,MATCH(A88,Releases!$B$2:$B$13,1))</f>
        <v>v1.2.0</v>
      </c>
      <c r="D88" s="23"/>
      <c r="E88" s="23"/>
      <c r="F88" s="23"/>
    </row>
    <row r="89" customFormat="false" ht="15" hidden="false" customHeight="false" outlineLevel="0" collapsed="false">
      <c r="A89" s="21" t="n">
        <v>46394</v>
      </c>
      <c r="B89" s="22" t="str">
        <f aca="false">TEXT(A89,"ddd")</f>
        <v>Thu</v>
      </c>
      <c r="C89" s="22" t="str">
        <f aca="false">INDEX(Releases!$A$2:$A$13,MATCH(A89,Releases!$B$2:$B$13,1))</f>
        <v>v1.2.0</v>
      </c>
      <c r="D89" s="23"/>
      <c r="E89" s="23"/>
      <c r="F89" s="23"/>
    </row>
    <row r="90" customFormat="false" ht="15" hidden="false" customHeight="false" outlineLevel="0" collapsed="false">
      <c r="A90" s="21" t="n">
        <v>46395</v>
      </c>
      <c r="B90" s="22" t="str">
        <f aca="false">TEXT(A90,"ddd")</f>
        <v>Fri</v>
      </c>
      <c r="C90" s="22" t="str">
        <f aca="false">INDEX(Releases!$A$2:$A$13,MATCH(A90,Releases!$B$2:$B$13,1))</f>
        <v>v1.2.0</v>
      </c>
      <c r="D90" s="23"/>
      <c r="E90" s="23"/>
      <c r="F90" s="23"/>
    </row>
    <row r="91" customFormat="false" ht="15" hidden="false" customHeight="false" outlineLevel="0" collapsed="false">
      <c r="A91" s="21" t="n">
        <v>46396</v>
      </c>
      <c r="B91" s="22" t="str">
        <f aca="false">TEXT(A91,"ddd")</f>
        <v>Sat</v>
      </c>
      <c r="C91" s="22" t="str">
        <f aca="false">INDEX(Releases!$A$2:$A$13,MATCH(A91,Releases!$B$2:$B$13,1))</f>
        <v>v1.2.0</v>
      </c>
      <c r="D91" s="23"/>
      <c r="E91" s="23"/>
      <c r="F91" s="23"/>
    </row>
    <row r="92" customFormat="false" ht="15" hidden="false" customHeight="false" outlineLevel="0" collapsed="false">
      <c r="A92" s="21" t="n">
        <v>46397</v>
      </c>
      <c r="B92" s="22" t="str">
        <f aca="false">TEXT(A92,"ddd")</f>
        <v>Sun</v>
      </c>
      <c r="C92" s="22" t="str">
        <f aca="false">INDEX(Releases!$A$2:$A$13,MATCH(A92,Releases!$B$2:$B$13,1))</f>
        <v>v1.2.0</v>
      </c>
      <c r="D92" s="23"/>
      <c r="E92" s="23"/>
      <c r="F92" s="23"/>
    </row>
    <row r="93" customFormat="false" ht="15" hidden="false" customHeight="false" outlineLevel="0" collapsed="false">
      <c r="A93" s="21" t="n">
        <v>46398</v>
      </c>
      <c r="B93" s="22" t="str">
        <f aca="false">TEXT(A93,"ddd")</f>
        <v>Mon</v>
      </c>
      <c r="C93" s="22" t="str">
        <f aca="false">INDEX(Releases!$A$2:$A$13,MATCH(A93,Releases!$B$2:$B$13,1))</f>
        <v>v1.2.0</v>
      </c>
      <c r="D93" s="23"/>
      <c r="E93" s="23"/>
      <c r="F93" s="23"/>
    </row>
    <row r="94" customFormat="false" ht="15" hidden="false" customHeight="false" outlineLevel="0" collapsed="false">
      <c r="A94" s="21" t="n">
        <v>46399</v>
      </c>
      <c r="B94" s="22" t="str">
        <f aca="false">TEXT(A94,"ddd")</f>
        <v>Tue</v>
      </c>
      <c r="C94" s="22" t="str">
        <f aca="false">INDEX(Releases!$A$2:$A$13,MATCH(A94,Releases!$B$2:$B$13,1))</f>
        <v>v1.2.0</v>
      </c>
      <c r="D94" s="23"/>
      <c r="E94" s="23"/>
      <c r="F94" s="23"/>
    </row>
    <row r="95" customFormat="false" ht="15" hidden="false" customHeight="false" outlineLevel="0" collapsed="false">
      <c r="A95" s="21" t="n">
        <v>46400</v>
      </c>
      <c r="B95" s="22" t="str">
        <f aca="false">TEXT(A95,"ddd")</f>
        <v>Wed</v>
      </c>
      <c r="C95" s="22" t="str">
        <f aca="false">INDEX(Releases!$A$2:$A$13,MATCH(A95,Releases!$B$2:$B$13,1))</f>
        <v>v1.2.0</v>
      </c>
      <c r="D95" s="23"/>
      <c r="E95" s="23"/>
      <c r="F95" s="23"/>
    </row>
    <row r="96" customFormat="false" ht="15" hidden="false" customHeight="false" outlineLevel="0" collapsed="false">
      <c r="A96" s="21" t="n">
        <v>46401</v>
      </c>
      <c r="B96" s="22" t="str">
        <f aca="false">TEXT(A96,"ddd")</f>
        <v>Thu</v>
      </c>
      <c r="C96" s="22" t="str">
        <f aca="false">INDEX(Releases!$A$2:$A$13,MATCH(A96,Releases!$B$2:$B$13,1))</f>
        <v>v1.2.0</v>
      </c>
      <c r="D96" s="23"/>
      <c r="E96" s="23"/>
      <c r="F96" s="23"/>
    </row>
    <row r="97" customFormat="false" ht="15" hidden="false" customHeight="false" outlineLevel="0" collapsed="false">
      <c r="A97" s="21" t="n">
        <v>46402</v>
      </c>
      <c r="B97" s="22" t="str">
        <f aca="false">TEXT(A97,"ddd")</f>
        <v>Fri</v>
      </c>
      <c r="C97" s="22" t="str">
        <f aca="false">INDEX(Releases!$A$2:$A$13,MATCH(A97,Releases!$B$2:$B$13,1))</f>
        <v>v1.2.0</v>
      </c>
      <c r="D97" s="23"/>
      <c r="E97" s="23"/>
      <c r="F97" s="23"/>
    </row>
    <row r="98" customFormat="false" ht="15" hidden="false" customHeight="false" outlineLevel="0" collapsed="false">
      <c r="A98" s="21" t="n">
        <v>46403</v>
      </c>
      <c r="B98" s="22" t="str">
        <f aca="false">TEXT(A98,"ddd")</f>
        <v>Sat</v>
      </c>
      <c r="C98" s="22" t="str">
        <f aca="false">INDEX(Releases!$A$2:$A$13,MATCH(A98,Releases!$B$2:$B$13,1))</f>
        <v>v1.3.0</v>
      </c>
      <c r="D98" s="23"/>
      <c r="E98" s="23"/>
      <c r="F98" s="23"/>
    </row>
    <row r="99" customFormat="false" ht="15" hidden="false" customHeight="false" outlineLevel="0" collapsed="false">
      <c r="A99" s="21" t="n">
        <v>46404</v>
      </c>
      <c r="B99" s="22" t="str">
        <f aca="false">TEXT(A99,"ddd")</f>
        <v>Sun</v>
      </c>
      <c r="C99" s="22" t="str">
        <f aca="false">INDEX(Releases!$A$2:$A$13,MATCH(A99,Releases!$B$2:$B$13,1))</f>
        <v>v1.3.0</v>
      </c>
      <c r="D99" s="23"/>
      <c r="E99" s="23"/>
      <c r="F99" s="23"/>
    </row>
    <row r="100" customFormat="false" ht="15" hidden="false" customHeight="false" outlineLevel="0" collapsed="false">
      <c r="A100" s="21" t="n">
        <v>46405</v>
      </c>
      <c r="B100" s="22" t="str">
        <f aca="false">TEXT(A100,"ddd")</f>
        <v>Mon</v>
      </c>
      <c r="C100" s="22" t="str">
        <f aca="false">INDEX(Releases!$A$2:$A$13,MATCH(A100,Releases!$B$2:$B$13,1))</f>
        <v>v1.3.0</v>
      </c>
      <c r="D100" s="23"/>
      <c r="E100" s="23"/>
      <c r="F100" s="23"/>
    </row>
    <row r="101" customFormat="false" ht="15" hidden="false" customHeight="false" outlineLevel="0" collapsed="false">
      <c r="A101" s="21" t="n">
        <v>46406</v>
      </c>
      <c r="B101" s="22" t="str">
        <f aca="false">TEXT(A101,"ddd")</f>
        <v>Tue</v>
      </c>
      <c r="C101" s="22" t="str">
        <f aca="false">INDEX(Releases!$A$2:$A$13,MATCH(A101,Releases!$B$2:$B$13,1))</f>
        <v>v1.3.0</v>
      </c>
      <c r="D101" s="23"/>
      <c r="E101" s="23"/>
      <c r="F101" s="23"/>
    </row>
    <row r="102" customFormat="false" ht="15" hidden="false" customHeight="false" outlineLevel="0" collapsed="false">
      <c r="A102" s="21" t="n">
        <v>46407</v>
      </c>
      <c r="B102" s="22" t="str">
        <f aca="false">TEXT(A102,"ddd")</f>
        <v>Wed</v>
      </c>
      <c r="C102" s="22" t="str">
        <f aca="false">INDEX(Releases!$A$2:$A$13,MATCH(A102,Releases!$B$2:$B$13,1))</f>
        <v>v1.3.0</v>
      </c>
      <c r="D102" s="23"/>
      <c r="E102" s="23"/>
      <c r="F102" s="23"/>
    </row>
    <row r="103" customFormat="false" ht="15" hidden="false" customHeight="false" outlineLevel="0" collapsed="false">
      <c r="A103" s="21" t="n">
        <v>46408</v>
      </c>
      <c r="B103" s="22" t="str">
        <f aca="false">TEXT(A103,"ddd")</f>
        <v>Thu</v>
      </c>
      <c r="C103" s="22" t="str">
        <f aca="false">INDEX(Releases!$A$2:$A$13,MATCH(A103,Releases!$B$2:$B$13,1))</f>
        <v>v1.3.0</v>
      </c>
      <c r="D103" s="23"/>
      <c r="E103" s="23"/>
      <c r="F103" s="23"/>
    </row>
    <row r="104" customFormat="false" ht="15" hidden="false" customHeight="false" outlineLevel="0" collapsed="false">
      <c r="A104" s="21" t="n">
        <v>46409</v>
      </c>
      <c r="B104" s="22" t="str">
        <f aca="false">TEXT(A104,"ddd")</f>
        <v>Fri</v>
      </c>
      <c r="C104" s="22" t="str">
        <f aca="false">INDEX(Releases!$A$2:$A$13,MATCH(A104,Releases!$B$2:$B$13,1))</f>
        <v>v1.3.0</v>
      </c>
      <c r="D104" s="23"/>
      <c r="E104" s="23"/>
      <c r="F104" s="23"/>
    </row>
    <row r="105" customFormat="false" ht="15" hidden="false" customHeight="false" outlineLevel="0" collapsed="false">
      <c r="A105" s="21" t="n">
        <v>46410</v>
      </c>
      <c r="B105" s="22" t="str">
        <f aca="false">TEXT(A105,"ddd")</f>
        <v>Sat</v>
      </c>
      <c r="C105" s="22" t="str">
        <f aca="false">INDEX(Releases!$A$2:$A$13,MATCH(A105,Releases!$B$2:$B$13,1))</f>
        <v>v1.3.0</v>
      </c>
      <c r="D105" s="23"/>
      <c r="E105" s="23"/>
      <c r="F105" s="23"/>
    </row>
    <row r="106" customFormat="false" ht="15" hidden="false" customHeight="false" outlineLevel="0" collapsed="false">
      <c r="A106" s="21" t="n">
        <v>46411</v>
      </c>
      <c r="B106" s="22" t="str">
        <f aca="false">TEXT(A106,"ddd")</f>
        <v>Sun</v>
      </c>
      <c r="C106" s="22" t="str">
        <f aca="false">INDEX(Releases!$A$2:$A$13,MATCH(A106,Releases!$B$2:$B$13,1))</f>
        <v>v1.3.0</v>
      </c>
      <c r="D106" s="23"/>
      <c r="E106" s="23"/>
      <c r="F106" s="23"/>
    </row>
    <row r="107" customFormat="false" ht="15" hidden="false" customHeight="false" outlineLevel="0" collapsed="false">
      <c r="A107" s="21" t="n">
        <v>46412</v>
      </c>
      <c r="B107" s="22" t="str">
        <f aca="false">TEXT(A107,"ddd")</f>
        <v>Mon</v>
      </c>
      <c r="C107" s="22" t="str">
        <f aca="false">INDEX(Releases!$A$2:$A$13,MATCH(A107,Releases!$B$2:$B$13,1))</f>
        <v>v1.3.0</v>
      </c>
      <c r="D107" s="23"/>
      <c r="E107" s="23"/>
      <c r="F107" s="23"/>
    </row>
    <row r="108" customFormat="false" ht="15" hidden="false" customHeight="false" outlineLevel="0" collapsed="false">
      <c r="A108" s="21" t="n">
        <v>46413</v>
      </c>
      <c r="B108" s="22" t="str">
        <f aca="false">TEXT(A108,"ddd")</f>
        <v>Tue</v>
      </c>
      <c r="C108" s="22" t="str">
        <f aca="false">INDEX(Releases!$A$2:$A$13,MATCH(A108,Releases!$B$2:$B$13,1))</f>
        <v>v1.3.0</v>
      </c>
      <c r="D108" s="23"/>
      <c r="E108" s="23"/>
      <c r="F108" s="23"/>
    </row>
    <row r="109" customFormat="false" ht="15" hidden="false" customHeight="false" outlineLevel="0" collapsed="false">
      <c r="A109" s="21" t="n">
        <v>46414</v>
      </c>
      <c r="B109" s="22" t="str">
        <f aca="false">TEXT(A109,"ddd")</f>
        <v>Wed</v>
      </c>
      <c r="C109" s="22" t="str">
        <f aca="false">INDEX(Releases!$A$2:$A$13,MATCH(A109,Releases!$B$2:$B$13,1))</f>
        <v>v1.3.0</v>
      </c>
      <c r="D109" s="23"/>
      <c r="E109" s="23"/>
      <c r="F109" s="23"/>
    </row>
    <row r="110" customFormat="false" ht="15" hidden="false" customHeight="false" outlineLevel="0" collapsed="false">
      <c r="A110" s="21" t="n">
        <v>46415</v>
      </c>
      <c r="B110" s="22" t="str">
        <f aca="false">TEXT(A110,"ddd")</f>
        <v>Thu</v>
      </c>
      <c r="C110" s="22" t="str">
        <f aca="false">INDEX(Releases!$A$2:$A$13,MATCH(A110,Releases!$B$2:$B$13,1))</f>
        <v>v1.3.0</v>
      </c>
      <c r="D110" s="23"/>
      <c r="E110" s="23"/>
      <c r="F110" s="23"/>
    </row>
    <row r="111" customFormat="false" ht="15" hidden="false" customHeight="false" outlineLevel="0" collapsed="false">
      <c r="A111" s="21" t="n">
        <v>46416</v>
      </c>
      <c r="B111" s="22" t="str">
        <f aca="false">TEXT(A111,"ddd")</f>
        <v>Fri</v>
      </c>
      <c r="C111" s="22" t="str">
        <f aca="false">INDEX(Releases!$A$2:$A$13,MATCH(A111,Releases!$B$2:$B$13,1))</f>
        <v>v1.3.0</v>
      </c>
      <c r="D111" s="23"/>
      <c r="E111" s="23"/>
      <c r="F111" s="23"/>
    </row>
    <row r="112" customFormat="false" ht="15" hidden="false" customHeight="false" outlineLevel="0" collapsed="false">
      <c r="A112" s="21" t="n">
        <v>46417</v>
      </c>
      <c r="B112" s="22" t="str">
        <f aca="false">TEXT(A112,"ddd")</f>
        <v>Sat</v>
      </c>
      <c r="C112" s="22" t="str">
        <f aca="false">INDEX(Releases!$A$2:$A$13,MATCH(A112,Releases!$B$2:$B$13,1))</f>
        <v>v1.3.0</v>
      </c>
      <c r="D112" s="23"/>
      <c r="E112" s="23"/>
      <c r="F112" s="23"/>
    </row>
    <row r="113" customFormat="false" ht="15" hidden="false" customHeight="false" outlineLevel="0" collapsed="false">
      <c r="A113" s="21" t="n">
        <v>46418</v>
      </c>
      <c r="B113" s="22" t="str">
        <f aca="false">TEXT(A113,"ddd")</f>
        <v>Sun</v>
      </c>
      <c r="C113" s="22" t="str">
        <f aca="false">INDEX(Releases!$A$2:$A$13,MATCH(A113,Releases!$B$2:$B$13,1))</f>
        <v>v1.3.0</v>
      </c>
      <c r="D113" s="23"/>
      <c r="E113" s="23"/>
      <c r="F113" s="23"/>
    </row>
    <row r="114" customFormat="false" ht="15" hidden="false" customHeight="false" outlineLevel="0" collapsed="false">
      <c r="A114" s="21" t="n">
        <v>46419</v>
      </c>
      <c r="B114" s="22" t="str">
        <f aca="false">TEXT(A114,"ddd")</f>
        <v>Mon</v>
      </c>
      <c r="C114" s="22" t="str">
        <f aca="false">INDEX(Releases!$A$2:$A$13,MATCH(A114,Releases!$B$2:$B$13,1))</f>
        <v>v1.3.0</v>
      </c>
      <c r="D114" s="23"/>
      <c r="E114" s="23"/>
      <c r="F114" s="23"/>
    </row>
    <row r="115" customFormat="false" ht="15" hidden="false" customHeight="false" outlineLevel="0" collapsed="false">
      <c r="A115" s="21" t="n">
        <v>46420</v>
      </c>
      <c r="B115" s="22" t="str">
        <f aca="false">TEXT(A115,"ddd")</f>
        <v>Tue</v>
      </c>
      <c r="C115" s="22" t="str">
        <f aca="false">INDEX(Releases!$A$2:$A$13,MATCH(A115,Releases!$B$2:$B$13,1))</f>
        <v>v1.3.0</v>
      </c>
      <c r="D115" s="23"/>
      <c r="E115" s="23"/>
      <c r="F115" s="23"/>
    </row>
    <row r="116" customFormat="false" ht="15" hidden="false" customHeight="false" outlineLevel="0" collapsed="false">
      <c r="A116" s="21" t="n">
        <v>46421</v>
      </c>
      <c r="B116" s="22" t="str">
        <f aca="false">TEXT(A116,"ddd")</f>
        <v>Wed</v>
      </c>
      <c r="C116" s="22" t="str">
        <f aca="false">INDEX(Releases!$A$2:$A$13,MATCH(A116,Releases!$B$2:$B$13,1))</f>
        <v>v1.3.0</v>
      </c>
      <c r="D116" s="23"/>
      <c r="E116" s="23"/>
      <c r="F116" s="23"/>
    </row>
    <row r="117" customFormat="false" ht="15" hidden="false" customHeight="false" outlineLevel="0" collapsed="false">
      <c r="A117" s="21" t="n">
        <v>46422</v>
      </c>
      <c r="B117" s="22" t="str">
        <f aca="false">TEXT(A117,"ddd")</f>
        <v>Thu</v>
      </c>
      <c r="C117" s="22" t="str">
        <f aca="false">INDEX(Releases!$A$2:$A$13,MATCH(A117,Releases!$B$2:$B$13,1))</f>
        <v>v1.3.0</v>
      </c>
      <c r="D117" s="23"/>
      <c r="E117" s="23"/>
      <c r="F117" s="23"/>
    </row>
    <row r="118" customFormat="false" ht="15" hidden="false" customHeight="false" outlineLevel="0" collapsed="false">
      <c r="A118" s="21" t="n">
        <v>46423</v>
      </c>
      <c r="B118" s="22" t="str">
        <f aca="false">TEXT(A118,"ddd")</f>
        <v>Fri</v>
      </c>
      <c r="C118" s="22" t="str">
        <f aca="false">INDEX(Releases!$A$2:$A$13,MATCH(A118,Releases!$B$2:$B$13,1))</f>
        <v>v1.3.0</v>
      </c>
      <c r="D118" s="23"/>
      <c r="E118" s="23"/>
      <c r="F118" s="23"/>
    </row>
    <row r="119" customFormat="false" ht="15" hidden="false" customHeight="false" outlineLevel="0" collapsed="false">
      <c r="A119" s="21" t="n">
        <v>46424</v>
      </c>
      <c r="B119" s="22" t="str">
        <f aca="false">TEXT(A119,"ddd")</f>
        <v>Sat</v>
      </c>
      <c r="C119" s="22" t="str">
        <f aca="false">INDEX(Releases!$A$2:$A$13,MATCH(A119,Releases!$B$2:$B$13,1))</f>
        <v>v1.3.0</v>
      </c>
      <c r="D119" s="23"/>
      <c r="E119" s="23"/>
      <c r="F119" s="23"/>
    </row>
    <row r="120" customFormat="false" ht="15" hidden="false" customHeight="false" outlineLevel="0" collapsed="false">
      <c r="A120" s="21" t="n">
        <v>46425</v>
      </c>
      <c r="B120" s="22" t="str">
        <f aca="false">TEXT(A120,"ddd")</f>
        <v>Sun</v>
      </c>
      <c r="C120" s="22" t="str">
        <f aca="false">INDEX(Releases!$A$2:$A$13,MATCH(A120,Releases!$B$2:$B$13,1))</f>
        <v>v1.3.0</v>
      </c>
      <c r="D120" s="23"/>
      <c r="E120" s="23"/>
      <c r="F120" s="23"/>
    </row>
    <row r="121" customFormat="false" ht="15" hidden="false" customHeight="false" outlineLevel="0" collapsed="false">
      <c r="A121" s="21" t="n">
        <v>46426</v>
      </c>
      <c r="B121" s="22" t="str">
        <f aca="false">TEXT(A121,"ddd")</f>
        <v>Mon</v>
      </c>
      <c r="C121" s="22" t="str">
        <f aca="false">INDEX(Releases!$A$2:$A$13,MATCH(A121,Releases!$B$2:$B$13,1))</f>
        <v>v1.3.0</v>
      </c>
      <c r="D121" s="23"/>
      <c r="E121" s="23"/>
      <c r="F121" s="23"/>
    </row>
    <row r="122" customFormat="false" ht="15" hidden="false" customHeight="false" outlineLevel="0" collapsed="false">
      <c r="A122" s="21" t="n">
        <v>46427</v>
      </c>
      <c r="B122" s="22" t="str">
        <f aca="false">TEXT(A122,"ddd")</f>
        <v>Tue</v>
      </c>
      <c r="C122" s="22" t="str">
        <f aca="false">INDEX(Releases!$A$2:$A$13,MATCH(A122,Releases!$B$2:$B$13,1))</f>
        <v>v1.3.0</v>
      </c>
      <c r="D122" s="23"/>
      <c r="E122" s="23"/>
      <c r="F122" s="23"/>
    </row>
    <row r="123" customFormat="false" ht="15" hidden="false" customHeight="false" outlineLevel="0" collapsed="false">
      <c r="A123" s="21" t="n">
        <v>46428</v>
      </c>
      <c r="B123" s="22" t="str">
        <f aca="false">TEXT(A123,"ddd")</f>
        <v>Wed</v>
      </c>
      <c r="C123" s="22" t="str">
        <f aca="false">INDEX(Releases!$A$2:$A$13,MATCH(A123,Releases!$B$2:$B$13,1))</f>
        <v>v1.3.0</v>
      </c>
      <c r="D123" s="23"/>
      <c r="E123" s="23"/>
      <c r="F123" s="23"/>
    </row>
    <row r="124" customFormat="false" ht="15" hidden="false" customHeight="false" outlineLevel="0" collapsed="false">
      <c r="A124" s="21" t="n">
        <v>46429</v>
      </c>
      <c r="B124" s="22" t="str">
        <f aca="false">TEXT(A124,"ddd")</f>
        <v>Thu</v>
      </c>
      <c r="C124" s="22" t="str">
        <f aca="false">INDEX(Releases!$A$2:$A$13,MATCH(A124,Releases!$B$2:$B$13,1))</f>
        <v>v1.3.0</v>
      </c>
      <c r="D124" s="23"/>
      <c r="E124" s="23"/>
      <c r="F124" s="23"/>
    </row>
    <row r="125" customFormat="false" ht="15" hidden="false" customHeight="false" outlineLevel="0" collapsed="false">
      <c r="A125" s="21" t="n">
        <v>46430</v>
      </c>
      <c r="B125" s="22" t="str">
        <f aca="false">TEXT(A125,"ddd")</f>
        <v>Fri</v>
      </c>
      <c r="C125" s="22" t="str">
        <f aca="false">INDEX(Releases!$A$2:$A$13,MATCH(A125,Releases!$B$2:$B$13,1))</f>
        <v>v1.3.0</v>
      </c>
      <c r="D125" s="23"/>
      <c r="E125" s="23"/>
      <c r="F125" s="23"/>
    </row>
    <row r="126" customFormat="false" ht="15" hidden="false" customHeight="false" outlineLevel="0" collapsed="false">
      <c r="A126" s="21" t="n">
        <v>46431</v>
      </c>
      <c r="B126" s="22" t="str">
        <f aca="false">TEXT(A126,"ddd")</f>
        <v>Sat</v>
      </c>
      <c r="C126" s="22" t="str">
        <f aca="false">INDEX(Releases!$A$2:$A$13,MATCH(A126,Releases!$B$2:$B$13,1))</f>
        <v>v1.3.0</v>
      </c>
      <c r="D126" s="23"/>
      <c r="E126" s="23"/>
      <c r="F126" s="23"/>
    </row>
    <row r="127" customFormat="false" ht="15" hidden="false" customHeight="false" outlineLevel="0" collapsed="false">
      <c r="A127" s="21" t="n">
        <v>46432</v>
      </c>
      <c r="B127" s="22" t="str">
        <f aca="false">TEXT(A127,"ddd")</f>
        <v>Sun</v>
      </c>
      <c r="C127" s="22" t="str">
        <f aca="false">INDEX(Releases!$A$2:$A$13,MATCH(A127,Releases!$B$2:$B$13,1))</f>
        <v>v1.3.0</v>
      </c>
      <c r="D127" s="23"/>
      <c r="E127" s="23"/>
      <c r="F127" s="23"/>
    </row>
    <row r="128" customFormat="false" ht="15" hidden="false" customHeight="false" outlineLevel="0" collapsed="false">
      <c r="A128" s="21" t="n">
        <v>46433</v>
      </c>
      <c r="B128" s="22" t="str">
        <f aca="false">TEXT(A128,"ddd")</f>
        <v>Mon</v>
      </c>
      <c r="C128" s="22" t="str">
        <f aca="false">INDEX(Releases!$A$2:$A$13,MATCH(A128,Releases!$B$2:$B$13,1))</f>
        <v>v1.3.0</v>
      </c>
      <c r="D128" s="23"/>
      <c r="E128" s="23"/>
      <c r="F128" s="23"/>
    </row>
    <row r="129" customFormat="false" ht="15" hidden="false" customHeight="false" outlineLevel="0" collapsed="false">
      <c r="A129" s="21" t="n">
        <v>46434</v>
      </c>
      <c r="B129" s="22" t="str">
        <f aca="false">TEXT(A129,"ddd")</f>
        <v>Tue</v>
      </c>
      <c r="C129" s="22" t="str">
        <f aca="false">INDEX(Releases!$A$2:$A$13,MATCH(A129,Releases!$B$2:$B$13,1))</f>
        <v>v1.4.0</v>
      </c>
      <c r="D129" s="23"/>
      <c r="E129" s="23"/>
      <c r="F129" s="23"/>
    </row>
    <row r="130" customFormat="false" ht="15" hidden="false" customHeight="false" outlineLevel="0" collapsed="false">
      <c r="A130" s="21" t="n">
        <v>46435</v>
      </c>
      <c r="B130" s="22" t="str">
        <f aca="false">TEXT(A130,"ddd")</f>
        <v>Wed</v>
      </c>
      <c r="C130" s="22" t="str">
        <f aca="false">INDEX(Releases!$A$2:$A$13,MATCH(A130,Releases!$B$2:$B$13,1))</f>
        <v>v1.4.0</v>
      </c>
      <c r="D130" s="23"/>
      <c r="E130" s="23"/>
      <c r="F130" s="23"/>
    </row>
    <row r="131" customFormat="false" ht="15" hidden="false" customHeight="false" outlineLevel="0" collapsed="false">
      <c r="A131" s="21" t="n">
        <v>46436</v>
      </c>
      <c r="B131" s="22" t="str">
        <f aca="false">TEXT(A131,"ddd")</f>
        <v>Thu</v>
      </c>
      <c r="C131" s="22" t="str">
        <f aca="false">INDEX(Releases!$A$2:$A$13,MATCH(A131,Releases!$B$2:$B$13,1))</f>
        <v>v1.4.0</v>
      </c>
      <c r="D131" s="23"/>
      <c r="E131" s="23"/>
      <c r="F131" s="23"/>
    </row>
    <row r="132" customFormat="false" ht="15" hidden="false" customHeight="false" outlineLevel="0" collapsed="false">
      <c r="A132" s="21" t="n">
        <v>46437</v>
      </c>
      <c r="B132" s="22" t="str">
        <f aca="false">TEXT(A132,"ddd")</f>
        <v>Fri</v>
      </c>
      <c r="C132" s="22" t="str">
        <f aca="false">INDEX(Releases!$A$2:$A$13,MATCH(A132,Releases!$B$2:$B$13,1))</f>
        <v>v1.4.0</v>
      </c>
      <c r="D132" s="23"/>
      <c r="E132" s="23"/>
      <c r="F132" s="23"/>
    </row>
    <row r="133" customFormat="false" ht="15" hidden="false" customHeight="false" outlineLevel="0" collapsed="false">
      <c r="A133" s="21" t="n">
        <v>46438</v>
      </c>
      <c r="B133" s="22" t="str">
        <f aca="false">TEXT(A133,"ddd")</f>
        <v>Sat</v>
      </c>
      <c r="C133" s="22" t="str">
        <f aca="false">INDEX(Releases!$A$2:$A$13,MATCH(A133,Releases!$B$2:$B$13,1))</f>
        <v>v1.4.0</v>
      </c>
      <c r="D133" s="23"/>
      <c r="E133" s="23"/>
      <c r="F133" s="23"/>
    </row>
    <row r="134" customFormat="false" ht="15" hidden="false" customHeight="false" outlineLevel="0" collapsed="false">
      <c r="A134" s="21" t="n">
        <v>46439</v>
      </c>
      <c r="B134" s="22" t="str">
        <f aca="false">TEXT(A134,"ddd")</f>
        <v>Sun</v>
      </c>
      <c r="C134" s="22" t="str">
        <f aca="false">INDEX(Releases!$A$2:$A$13,MATCH(A134,Releases!$B$2:$B$13,1))</f>
        <v>v1.4.0</v>
      </c>
      <c r="D134" s="23"/>
      <c r="E134" s="23"/>
      <c r="F134" s="23"/>
    </row>
    <row r="135" customFormat="false" ht="15" hidden="false" customHeight="false" outlineLevel="0" collapsed="false">
      <c r="A135" s="21" t="n">
        <v>46440</v>
      </c>
      <c r="B135" s="22" t="str">
        <f aca="false">TEXT(A135,"ddd")</f>
        <v>Mon</v>
      </c>
      <c r="C135" s="22" t="str">
        <f aca="false">INDEX(Releases!$A$2:$A$13,MATCH(A135,Releases!$B$2:$B$13,1))</f>
        <v>v1.4.0</v>
      </c>
      <c r="D135" s="23"/>
      <c r="E135" s="23"/>
      <c r="F135" s="23"/>
    </row>
    <row r="136" customFormat="false" ht="15" hidden="false" customHeight="false" outlineLevel="0" collapsed="false">
      <c r="A136" s="21" t="n">
        <v>46441</v>
      </c>
      <c r="B136" s="22" t="str">
        <f aca="false">TEXT(A136,"ddd")</f>
        <v>Tue</v>
      </c>
      <c r="C136" s="22" t="str">
        <f aca="false">INDEX(Releases!$A$2:$A$13,MATCH(A136,Releases!$B$2:$B$13,1))</f>
        <v>v1.4.0</v>
      </c>
      <c r="D136" s="23"/>
      <c r="E136" s="23"/>
      <c r="F136" s="23"/>
    </row>
    <row r="137" customFormat="false" ht="15" hidden="false" customHeight="false" outlineLevel="0" collapsed="false">
      <c r="A137" s="21" t="n">
        <v>46442</v>
      </c>
      <c r="B137" s="22" t="str">
        <f aca="false">TEXT(A137,"ddd")</f>
        <v>Wed</v>
      </c>
      <c r="C137" s="22" t="str">
        <f aca="false">INDEX(Releases!$A$2:$A$13,MATCH(A137,Releases!$B$2:$B$13,1))</f>
        <v>v1.4.0</v>
      </c>
      <c r="D137" s="23"/>
      <c r="E137" s="23"/>
      <c r="F137" s="23"/>
    </row>
    <row r="138" customFormat="false" ht="15" hidden="false" customHeight="false" outlineLevel="0" collapsed="false">
      <c r="A138" s="21" t="n">
        <v>46443</v>
      </c>
      <c r="B138" s="22" t="str">
        <f aca="false">TEXT(A138,"ddd")</f>
        <v>Thu</v>
      </c>
      <c r="C138" s="22" t="str">
        <f aca="false">INDEX(Releases!$A$2:$A$13,MATCH(A138,Releases!$B$2:$B$13,1))</f>
        <v>v1.4.0</v>
      </c>
      <c r="D138" s="23"/>
      <c r="E138" s="23"/>
      <c r="F138" s="23"/>
    </row>
    <row r="139" customFormat="false" ht="15" hidden="false" customHeight="false" outlineLevel="0" collapsed="false">
      <c r="A139" s="21" t="n">
        <v>46444</v>
      </c>
      <c r="B139" s="22" t="str">
        <f aca="false">TEXT(A139,"ddd")</f>
        <v>Fri</v>
      </c>
      <c r="C139" s="22" t="str">
        <f aca="false">INDEX(Releases!$A$2:$A$13,MATCH(A139,Releases!$B$2:$B$13,1))</f>
        <v>v1.4.0</v>
      </c>
      <c r="D139" s="23"/>
      <c r="E139" s="23"/>
      <c r="F139" s="23"/>
    </row>
    <row r="140" customFormat="false" ht="15" hidden="false" customHeight="false" outlineLevel="0" collapsed="false">
      <c r="A140" s="21" t="n">
        <v>46445</v>
      </c>
      <c r="B140" s="22" t="str">
        <f aca="false">TEXT(A140,"ddd")</f>
        <v>Sat</v>
      </c>
      <c r="C140" s="22" t="str">
        <f aca="false">INDEX(Releases!$A$2:$A$13,MATCH(A140,Releases!$B$2:$B$13,1))</f>
        <v>v1.4.0</v>
      </c>
      <c r="D140" s="23"/>
      <c r="E140" s="23"/>
      <c r="F140" s="23"/>
    </row>
    <row r="141" customFormat="false" ht="15" hidden="false" customHeight="false" outlineLevel="0" collapsed="false">
      <c r="A141" s="21" t="n">
        <v>46446</v>
      </c>
      <c r="B141" s="22" t="str">
        <f aca="false">TEXT(A141,"ddd")</f>
        <v>Sun</v>
      </c>
      <c r="C141" s="22" t="str">
        <f aca="false">INDEX(Releases!$A$2:$A$13,MATCH(A141,Releases!$B$2:$B$13,1))</f>
        <v>v1.4.0</v>
      </c>
      <c r="D141" s="23"/>
      <c r="E141" s="23"/>
      <c r="F141" s="23"/>
    </row>
    <row r="142" customFormat="false" ht="15" hidden="false" customHeight="false" outlineLevel="0" collapsed="false">
      <c r="A142" s="21" t="n">
        <v>46447</v>
      </c>
      <c r="B142" s="22" t="str">
        <f aca="false">TEXT(A142,"ddd")</f>
        <v>Mon</v>
      </c>
      <c r="C142" s="22" t="str">
        <f aca="false">INDEX(Releases!$A$2:$A$13,MATCH(A142,Releases!$B$2:$B$13,1))</f>
        <v>v1.4.0</v>
      </c>
      <c r="D142" s="23"/>
      <c r="E142" s="23"/>
      <c r="F142" s="23"/>
    </row>
    <row r="143" customFormat="false" ht="15" hidden="false" customHeight="false" outlineLevel="0" collapsed="false">
      <c r="A143" s="21" t="n">
        <v>46448</v>
      </c>
      <c r="B143" s="22" t="str">
        <f aca="false">TEXT(A143,"ddd")</f>
        <v>Tue</v>
      </c>
      <c r="C143" s="22" t="str">
        <f aca="false">INDEX(Releases!$A$2:$A$13,MATCH(A143,Releases!$B$2:$B$13,1))</f>
        <v>v1.4.0</v>
      </c>
      <c r="D143" s="23"/>
      <c r="E143" s="23"/>
      <c r="F143" s="23"/>
    </row>
    <row r="144" customFormat="false" ht="15" hidden="false" customHeight="false" outlineLevel="0" collapsed="false">
      <c r="A144" s="21" t="n">
        <v>46449</v>
      </c>
      <c r="B144" s="22" t="str">
        <f aca="false">TEXT(A144,"ddd")</f>
        <v>Wed</v>
      </c>
      <c r="C144" s="22" t="str">
        <f aca="false">INDEX(Releases!$A$2:$A$13,MATCH(A144,Releases!$B$2:$B$13,1))</f>
        <v>v1.4.0</v>
      </c>
      <c r="D144" s="23"/>
      <c r="E144" s="23"/>
      <c r="F144" s="23"/>
    </row>
    <row r="145" customFormat="false" ht="15" hidden="false" customHeight="false" outlineLevel="0" collapsed="false">
      <c r="A145" s="21" t="n">
        <v>46450</v>
      </c>
      <c r="B145" s="22" t="str">
        <f aca="false">TEXT(A145,"ddd")</f>
        <v>Thu</v>
      </c>
      <c r="C145" s="22" t="str">
        <f aca="false">INDEX(Releases!$A$2:$A$13,MATCH(A145,Releases!$B$2:$B$13,1))</f>
        <v>v1.4.0</v>
      </c>
      <c r="D145" s="23"/>
      <c r="E145" s="23"/>
      <c r="F145" s="23"/>
    </row>
    <row r="146" customFormat="false" ht="15" hidden="false" customHeight="false" outlineLevel="0" collapsed="false">
      <c r="A146" s="21" t="n">
        <v>46451</v>
      </c>
      <c r="B146" s="22" t="str">
        <f aca="false">TEXT(A146,"ddd")</f>
        <v>Fri</v>
      </c>
      <c r="C146" s="22" t="str">
        <f aca="false">INDEX(Releases!$A$2:$A$13,MATCH(A146,Releases!$B$2:$B$13,1))</f>
        <v>v1.4.0</v>
      </c>
      <c r="D146" s="23"/>
      <c r="E146" s="23"/>
      <c r="F146" s="23"/>
    </row>
    <row r="147" customFormat="false" ht="15" hidden="false" customHeight="false" outlineLevel="0" collapsed="false">
      <c r="A147" s="21" t="n">
        <v>46452</v>
      </c>
      <c r="B147" s="22" t="str">
        <f aca="false">TEXT(A147,"ddd")</f>
        <v>Sat</v>
      </c>
      <c r="C147" s="22" t="str">
        <f aca="false">INDEX(Releases!$A$2:$A$13,MATCH(A147,Releases!$B$2:$B$13,1))</f>
        <v>v1.4.0</v>
      </c>
      <c r="D147" s="23"/>
      <c r="E147" s="23"/>
      <c r="F147" s="23"/>
    </row>
    <row r="148" customFormat="false" ht="15" hidden="false" customHeight="false" outlineLevel="0" collapsed="false">
      <c r="A148" s="21" t="n">
        <v>46453</v>
      </c>
      <c r="B148" s="22" t="str">
        <f aca="false">TEXT(A148,"ddd")</f>
        <v>Sun</v>
      </c>
      <c r="C148" s="22" t="str">
        <f aca="false">INDEX(Releases!$A$2:$A$13,MATCH(A148,Releases!$B$2:$B$13,1))</f>
        <v>v1.4.0</v>
      </c>
      <c r="D148" s="23"/>
      <c r="E148" s="23"/>
      <c r="F148" s="23"/>
    </row>
    <row r="149" customFormat="false" ht="15" hidden="false" customHeight="false" outlineLevel="0" collapsed="false">
      <c r="A149" s="21" t="n">
        <v>46454</v>
      </c>
      <c r="B149" s="22" t="str">
        <f aca="false">TEXT(A149,"ddd")</f>
        <v>Mon</v>
      </c>
      <c r="C149" s="22" t="str">
        <f aca="false">INDEX(Releases!$A$2:$A$13,MATCH(A149,Releases!$B$2:$B$13,1))</f>
        <v>v1.4.0</v>
      </c>
      <c r="D149" s="23"/>
      <c r="E149" s="23"/>
      <c r="F149" s="23"/>
    </row>
    <row r="150" customFormat="false" ht="15" hidden="false" customHeight="false" outlineLevel="0" collapsed="false">
      <c r="A150" s="21" t="n">
        <v>46455</v>
      </c>
      <c r="B150" s="22" t="str">
        <f aca="false">TEXT(A150,"ddd")</f>
        <v>Tue</v>
      </c>
      <c r="C150" s="22" t="str">
        <f aca="false">INDEX(Releases!$A$2:$A$13,MATCH(A150,Releases!$B$2:$B$13,1))</f>
        <v>v1.4.0</v>
      </c>
      <c r="D150" s="23"/>
      <c r="E150" s="23"/>
      <c r="F150" s="23"/>
    </row>
    <row r="151" customFormat="false" ht="15" hidden="false" customHeight="false" outlineLevel="0" collapsed="false">
      <c r="A151" s="21" t="n">
        <v>46456</v>
      </c>
      <c r="B151" s="22" t="str">
        <f aca="false">TEXT(A151,"ddd")</f>
        <v>Wed</v>
      </c>
      <c r="C151" s="22" t="str">
        <f aca="false">INDEX(Releases!$A$2:$A$13,MATCH(A151,Releases!$B$2:$B$13,1))</f>
        <v>v1.4.0</v>
      </c>
      <c r="D151" s="23"/>
      <c r="E151" s="23"/>
      <c r="F151" s="23"/>
    </row>
    <row r="152" customFormat="false" ht="15" hidden="false" customHeight="false" outlineLevel="0" collapsed="false">
      <c r="A152" s="21" t="n">
        <v>46457</v>
      </c>
      <c r="B152" s="22" t="str">
        <f aca="false">TEXT(A152,"ddd")</f>
        <v>Thu</v>
      </c>
      <c r="C152" s="22" t="str">
        <f aca="false">INDEX(Releases!$A$2:$A$13,MATCH(A152,Releases!$B$2:$B$13,1))</f>
        <v>v1.4.0</v>
      </c>
      <c r="D152" s="23"/>
      <c r="E152" s="23"/>
      <c r="F152" s="23"/>
    </row>
    <row r="153" customFormat="false" ht="15" hidden="false" customHeight="false" outlineLevel="0" collapsed="false">
      <c r="A153" s="21" t="n">
        <v>46458</v>
      </c>
      <c r="B153" s="22" t="str">
        <f aca="false">TEXT(A153,"ddd")</f>
        <v>Fri</v>
      </c>
      <c r="C153" s="22" t="str">
        <f aca="false">INDEX(Releases!$A$2:$A$13,MATCH(A153,Releases!$B$2:$B$13,1))</f>
        <v>v1.4.0</v>
      </c>
      <c r="D153" s="23"/>
      <c r="E153" s="23"/>
      <c r="F153" s="23"/>
    </row>
    <row r="154" customFormat="false" ht="15" hidden="false" customHeight="false" outlineLevel="0" collapsed="false">
      <c r="A154" s="21" t="n">
        <v>46459</v>
      </c>
      <c r="B154" s="22" t="str">
        <f aca="false">TEXT(A154,"ddd")</f>
        <v>Sat</v>
      </c>
      <c r="C154" s="22" t="str">
        <f aca="false">INDEX(Releases!$A$2:$A$13,MATCH(A154,Releases!$B$2:$B$13,1))</f>
        <v>v1.4.0</v>
      </c>
      <c r="D154" s="23"/>
      <c r="E154" s="23"/>
      <c r="F154" s="23"/>
    </row>
    <row r="155" customFormat="false" ht="15" hidden="false" customHeight="false" outlineLevel="0" collapsed="false">
      <c r="A155" s="21" t="n">
        <v>46460</v>
      </c>
      <c r="B155" s="22" t="str">
        <f aca="false">TEXT(A155,"ddd")</f>
        <v>Sun</v>
      </c>
      <c r="C155" s="22" t="str">
        <f aca="false">INDEX(Releases!$A$2:$A$13,MATCH(A155,Releases!$B$2:$B$13,1))</f>
        <v>v1.4.0</v>
      </c>
      <c r="D155" s="23"/>
      <c r="E155" s="23"/>
      <c r="F155" s="23"/>
    </row>
    <row r="156" customFormat="false" ht="15" hidden="false" customHeight="false" outlineLevel="0" collapsed="false">
      <c r="A156" s="21" t="n">
        <v>46461</v>
      </c>
      <c r="B156" s="22" t="str">
        <f aca="false">TEXT(A156,"ddd")</f>
        <v>Mon</v>
      </c>
      <c r="C156" s="22" t="str">
        <f aca="false">INDEX(Releases!$A$2:$A$13,MATCH(A156,Releases!$B$2:$B$13,1))</f>
        <v>v1.4.0</v>
      </c>
      <c r="D156" s="23"/>
      <c r="E156" s="23"/>
      <c r="F156" s="23"/>
    </row>
    <row r="157" customFormat="false" ht="15" hidden="false" customHeight="false" outlineLevel="0" collapsed="false">
      <c r="A157" s="21" t="n">
        <v>46462</v>
      </c>
      <c r="B157" s="22" t="str">
        <f aca="false">TEXT(A157,"ddd")</f>
        <v>Tue</v>
      </c>
      <c r="C157" s="22" t="str">
        <f aca="false">INDEX(Releases!$A$2:$A$13,MATCH(A157,Releases!$B$2:$B$13,1))</f>
        <v>v2.0.0</v>
      </c>
      <c r="D157" s="23"/>
      <c r="E157" s="23"/>
      <c r="F157" s="23"/>
    </row>
    <row r="158" customFormat="false" ht="15" hidden="false" customHeight="false" outlineLevel="0" collapsed="false">
      <c r="A158" s="21" t="n">
        <v>46463</v>
      </c>
      <c r="B158" s="22" t="str">
        <f aca="false">TEXT(A158,"ddd")</f>
        <v>Wed</v>
      </c>
      <c r="C158" s="22" t="str">
        <f aca="false">INDEX(Releases!$A$2:$A$13,MATCH(A158,Releases!$B$2:$B$13,1))</f>
        <v>v2.0.0</v>
      </c>
      <c r="D158" s="23"/>
      <c r="E158" s="23"/>
      <c r="F158" s="23"/>
    </row>
    <row r="159" customFormat="false" ht="15" hidden="false" customHeight="false" outlineLevel="0" collapsed="false">
      <c r="A159" s="21" t="n">
        <v>46464</v>
      </c>
      <c r="B159" s="22" t="str">
        <f aca="false">TEXT(A159,"ddd")</f>
        <v>Thu</v>
      </c>
      <c r="C159" s="22" t="str">
        <f aca="false">INDEX(Releases!$A$2:$A$13,MATCH(A159,Releases!$B$2:$B$13,1))</f>
        <v>v2.0.0</v>
      </c>
      <c r="D159" s="23"/>
      <c r="E159" s="23"/>
      <c r="F159" s="23"/>
    </row>
    <row r="160" customFormat="false" ht="15" hidden="false" customHeight="false" outlineLevel="0" collapsed="false">
      <c r="A160" s="21" t="n">
        <v>46465</v>
      </c>
      <c r="B160" s="22" t="str">
        <f aca="false">TEXT(A160,"ddd")</f>
        <v>Fri</v>
      </c>
      <c r="C160" s="22" t="str">
        <f aca="false">INDEX(Releases!$A$2:$A$13,MATCH(A160,Releases!$B$2:$B$13,1))</f>
        <v>v2.0.0</v>
      </c>
      <c r="D160" s="23"/>
      <c r="E160" s="23"/>
      <c r="F160" s="23"/>
    </row>
    <row r="161" customFormat="false" ht="15" hidden="false" customHeight="false" outlineLevel="0" collapsed="false">
      <c r="A161" s="21" t="n">
        <v>46466</v>
      </c>
      <c r="B161" s="22" t="str">
        <f aca="false">TEXT(A161,"ddd")</f>
        <v>Sat</v>
      </c>
      <c r="C161" s="22" t="str">
        <f aca="false">INDEX(Releases!$A$2:$A$13,MATCH(A161,Releases!$B$2:$B$13,1))</f>
        <v>v2.0.0</v>
      </c>
      <c r="D161" s="23"/>
      <c r="E161" s="23"/>
      <c r="F161" s="23"/>
    </row>
    <row r="162" customFormat="false" ht="15" hidden="false" customHeight="false" outlineLevel="0" collapsed="false">
      <c r="A162" s="21" t="n">
        <v>46467</v>
      </c>
      <c r="B162" s="22" t="str">
        <f aca="false">TEXT(A162,"ddd")</f>
        <v>Sun</v>
      </c>
      <c r="C162" s="22" t="str">
        <f aca="false">INDEX(Releases!$A$2:$A$13,MATCH(A162,Releases!$B$2:$B$13,1))</f>
        <v>v2.0.0</v>
      </c>
      <c r="D162" s="23"/>
      <c r="E162" s="23"/>
      <c r="F162" s="23"/>
    </row>
    <row r="163" customFormat="false" ht="15" hidden="false" customHeight="false" outlineLevel="0" collapsed="false">
      <c r="A163" s="21" t="n">
        <v>46468</v>
      </c>
      <c r="B163" s="22" t="str">
        <f aca="false">TEXT(A163,"ddd")</f>
        <v>Mon</v>
      </c>
      <c r="C163" s="22" t="str">
        <f aca="false">INDEX(Releases!$A$2:$A$13,MATCH(A163,Releases!$B$2:$B$13,1))</f>
        <v>v2.0.0</v>
      </c>
      <c r="D163" s="23"/>
      <c r="E163" s="23"/>
      <c r="F163" s="23"/>
    </row>
    <row r="164" customFormat="false" ht="15" hidden="false" customHeight="false" outlineLevel="0" collapsed="false">
      <c r="A164" s="21" t="n">
        <v>46469</v>
      </c>
      <c r="B164" s="22" t="str">
        <f aca="false">TEXT(A164,"ddd")</f>
        <v>Tue</v>
      </c>
      <c r="C164" s="22" t="str">
        <f aca="false">INDEX(Releases!$A$2:$A$13,MATCH(A164,Releases!$B$2:$B$13,1))</f>
        <v>v2.0.0</v>
      </c>
      <c r="D164" s="23"/>
      <c r="E164" s="23"/>
      <c r="F164" s="23"/>
    </row>
    <row r="165" customFormat="false" ht="15" hidden="false" customHeight="false" outlineLevel="0" collapsed="false">
      <c r="A165" s="21" t="n">
        <v>46470</v>
      </c>
      <c r="B165" s="22" t="str">
        <f aca="false">TEXT(A165,"ddd")</f>
        <v>Wed</v>
      </c>
      <c r="C165" s="22" t="str">
        <f aca="false">INDEX(Releases!$A$2:$A$13,MATCH(A165,Releases!$B$2:$B$13,1))</f>
        <v>v2.0.0</v>
      </c>
      <c r="D165" s="23"/>
      <c r="E165" s="23"/>
      <c r="F165" s="23"/>
    </row>
    <row r="166" customFormat="false" ht="15" hidden="false" customHeight="false" outlineLevel="0" collapsed="false">
      <c r="A166" s="21" t="n">
        <v>46471</v>
      </c>
      <c r="B166" s="22" t="str">
        <f aca="false">TEXT(A166,"ddd")</f>
        <v>Thu</v>
      </c>
      <c r="C166" s="22" t="str">
        <f aca="false">INDEX(Releases!$A$2:$A$13,MATCH(A166,Releases!$B$2:$B$13,1))</f>
        <v>v2.0.0</v>
      </c>
      <c r="D166" s="23"/>
      <c r="E166" s="23"/>
      <c r="F166" s="23"/>
    </row>
    <row r="167" customFormat="false" ht="15" hidden="false" customHeight="false" outlineLevel="0" collapsed="false">
      <c r="A167" s="21" t="n">
        <v>46472</v>
      </c>
      <c r="B167" s="22" t="str">
        <f aca="false">TEXT(A167,"ddd")</f>
        <v>Fri</v>
      </c>
      <c r="C167" s="22" t="str">
        <f aca="false">INDEX(Releases!$A$2:$A$13,MATCH(A167,Releases!$B$2:$B$13,1))</f>
        <v>v2.0.0</v>
      </c>
      <c r="D167" s="23"/>
      <c r="E167" s="23"/>
      <c r="F167" s="23"/>
    </row>
    <row r="168" customFormat="false" ht="15" hidden="false" customHeight="false" outlineLevel="0" collapsed="false">
      <c r="A168" s="21" t="n">
        <v>46473</v>
      </c>
      <c r="B168" s="22" t="str">
        <f aca="false">TEXT(A168,"ddd")</f>
        <v>Sat</v>
      </c>
      <c r="C168" s="22" t="str">
        <f aca="false">INDEX(Releases!$A$2:$A$13,MATCH(A168,Releases!$B$2:$B$13,1))</f>
        <v>v2.0.0</v>
      </c>
      <c r="D168" s="23"/>
      <c r="E168" s="23"/>
      <c r="F168" s="23"/>
    </row>
    <row r="169" customFormat="false" ht="15" hidden="false" customHeight="false" outlineLevel="0" collapsed="false">
      <c r="A169" s="21" t="n">
        <v>46474</v>
      </c>
      <c r="B169" s="22" t="str">
        <f aca="false">TEXT(A169,"ddd")</f>
        <v>Sun</v>
      </c>
      <c r="C169" s="22" t="str">
        <f aca="false">INDEX(Releases!$A$2:$A$13,MATCH(A169,Releases!$B$2:$B$13,1))</f>
        <v>v2.0.0</v>
      </c>
      <c r="D169" s="23"/>
      <c r="E169" s="23"/>
      <c r="F169" s="23"/>
    </row>
    <row r="170" customFormat="false" ht="15" hidden="false" customHeight="false" outlineLevel="0" collapsed="false">
      <c r="A170" s="21" t="n">
        <v>46475</v>
      </c>
      <c r="B170" s="22" t="str">
        <f aca="false">TEXT(A170,"ddd")</f>
        <v>Mon</v>
      </c>
      <c r="C170" s="22" t="str">
        <f aca="false">INDEX(Releases!$A$2:$A$13,MATCH(A170,Releases!$B$2:$B$13,1))</f>
        <v>v2.0.0</v>
      </c>
      <c r="D170" s="23"/>
      <c r="E170" s="23"/>
      <c r="F170" s="23"/>
    </row>
    <row r="171" customFormat="false" ht="15" hidden="false" customHeight="false" outlineLevel="0" collapsed="false">
      <c r="A171" s="21" t="n">
        <v>46476</v>
      </c>
      <c r="B171" s="22" t="str">
        <f aca="false">TEXT(A171,"ddd")</f>
        <v>Tue</v>
      </c>
      <c r="C171" s="22" t="str">
        <f aca="false">INDEX(Releases!$A$2:$A$13,MATCH(A171,Releases!$B$2:$B$13,1))</f>
        <v>v2.0.0</v>
      </c>
      <c r="D171" s="23"/>
      <c r="E171" s="23"/>
      <c r="F171" s="23"/>
    </row>
    <row r="172" customFormat="false" ht="15" hidden="false" customHeight="false" outlineLevel="0" collapsed="false">
      <c r="A172" s="21" t="n">
        <v>46477</v>
      </c>
      <c r="B172" s="22" t="str">
        <f aca="false">TEXT(A172,"ddd")</f>
        <v>Wed</v>
      </c>
      <c r="C172" s="22" t="str">
        <f aca="false">INDEX(Releases!$A$2:$A$13,MATCH(A172,Releases!$B$2:$B$13,1))</f>
        <v>v2.0.0</v>
      </c>
      <c r="D172" s="23"/>
      <c r="E172" s="23"/>
      <c r="F172" s="23"/>
    </row>
    <row r="173" customFormat="false" ht="15" hidden="false" customHeight="false" outlineLevel="0" collapsed="false">
      <c r="A173" s="21" t="n">
        <v>46478</v>
      </c>
      <c r="B173" s="22" t="str">
        <f aca="false">TEXT(A173,"ddd")</f>
        <v>Thu</v>
      </c>
      <c r="C173" s="22" t="str">
        <f aca="false">INDEX(Releases!$A$2:$A$13,MATCH(A173,Releases!$B$2:$B$13,1))</f>
        <v>v2.0.0</v>
      </c>
      <c r="D173" s="23"/>
      <c r="E173" s="23"/>
      <c r="F173" s="23"/>
    </row>
    <row r="174" customFormat="false" ht="15" hidden="false" customHeight="false" outlineLevel="0" collapsed="false">
      <c r="A174" s="21" t="n">
        <v>46479</v>
      </c>
      <c r="B174" s="22" t="str">
        <f aca="false">TEXT(A174,"ddd")</f>
        <v>Fri</v>
      </c>
      <c r="C174" s="22" t="str">
        <f aca="false">INDEX(Releases!$A$2:$A$13,MATCH(A174,Releases!$B$2:$B$13,1))</f>
        <v>v2.0.0</v>
      </c>
      <c r="D174" s="23"/>
      <c r="E174" s="23"/>
      <c r="F174" s="23"/>
    </row>
    <row r="175" customFormat="false" ht="15" hidden="false" customHeight="false" outlineLevel="0" collapsed="false">
      <c r="A175" s="21" t="n">
        <v>46480</v>
      </c>
      <c r="B175" s="22" t="str">
        <f aca="false">TEXT(A175,"ddd")</f>
        <v>Sat</v>
      </c>
      <c r="C175" s="22" t="str">
        <f aca="false">INDEX(Releases!$A$2:$A$13,MATCH(A175,Releases!$B$2:$B$13,1))</f>
        <v>v2.0.0</v>
      </c>
      <c r="D175" s="23"/>
      <c r="E175" s="23"/>
      <c r="F175" s="23"/>
    </row>
    <row r="176" customFormat="false" ht="15" hidden="false" customHeight="false" outlineLevel="0" collapsed="false">
      <c r="A176" s="21" t="n">
        <v>46481</v>
      </c>
      <c r="B176" s="22" t="str">
        <f aca="false">TEXT(A176,"ddd")</f>
        <v>Sun</v>
      </c>
      <c r="C176" s="22" t="str">
        <f aca="false">INDEX(Releases!$A$2:$A$13,MATCH(A176,Releases!$B$2:$B$13,1))</f>
        <v>v2.0.0</v>
      </c>
      <c r="D176" s="23"/>
      <c r="E176" s="23"/>
      <c r="F176" s="23"/>
    </row>
    <row r="177" customFormat="false" ht="15" hidden="false" customHeight="false" outlineLevel="0" collapsed="false">
      <c r="A177" s="21" t="n">
        <v>46482</v>
      </c>
      <c r="B177" s="22" t="str">
        <f aca="false">TEXT(A177,"ddd")</f>
        <v>Mon</v>
      </c>
      <c r="C177" s="22" t="str">
        <f aca="false">INDEX(Releases!$A$2:$A$13,MATCH(A177,Releases!$B$2:$B$13,1))</f>
        <v>v2.0.0</v>
      </c>
      <c r="D177" s="23"/>
      <c r="E177" s="23"/>
      <c r="F177" s="23"/>
    </row>
    <row r="178" customFormat="false" ht="15" hidden="false" customHeight="false" outlineLevel="0" collapsed="false">
      <c r="A178" s="21" t="n">
        <v>46483</v>
      </c>
      <c r="B178" s="22" t="str">
        <f aca="false">TEXT(A178,"ddd")</f>
        <v>Tue</v>
      </c>
      <c r="C178" s="22" t="str">
        <f aca="false">INDEX(Releases!$A$2:$A$13,MATCH(A178,Releases!$B$2:$B$13,1))</f>
        <v>v2.0.0</v>
      </c>
      <c r="D178" s="23"/>
      <c r="E178" s="23"/>
      <c r="F178" s="23"/>
    </row>
    <row r="179" customFormat="false" ht="15" hidden="false" customHeight="false" outlineLevel="0" collapsed="false">
      <c r="A179" s="21" t="n">
        <v>46484</v>
      </c>
      <c r="B179" s="22" t="str">
        <f aca="false">TEXT(A179,"ddd")</f>
        <v>Wed</v>
      </c>
      <c r="C179" s="22" t="str">
        <f aca="false">INDEX(Releases!$A$2:$A$13,MATCH(A179,Releases!$B$2:$B$13,1))</f>
        <v>v2.0.0</v>
      </c>
      <c r="D179" s="23"/>
      <c r="E179" s="23"/>
      <c r="F179" s="23"/>
    </row>
    <row r="180" customFormat="false" ht="15" hidden="false" customHeight="false" outlineLevel="0" collapsed="false">
      <c r="A180" s="21" t="n">
        <v>46485</v>
      </c>
      <c r="B180" s="22" t="str">
        <f aca="false">TEXT(A180,"ddd")</f>
        <v>Thu</v>
      </c>
      <c r="C180" s="22" t="str">
        <f aca="false">INDEX(Releases!$A$2:$A$13,MATCH(A180,Releases!$B$2:$B$13,1))</f>
        <v>v2.0.0</v>
      </c>
      <c r="D180" s="23"/>
      <c r="E180" s="23"/>
      <c r="F180" s="23"/>
    </row>
    <row r="181" customFormat="false" ht="15" hidden="false" customHeight="false" outlineLevel="0" collapsed="false">
      <c r="A181" s="21" t="n">
        <v>46486</v>
      </c>
      <c r="B181" s="22" t="str">
        <f aca="false">TEXT(A181,"ddd")</f>
        <v>Fri</v>
      </c>
      <c r="C181" s="22" t="str">
        <f aca="false">INDEX(Releases!$A$2:$A$13,MATCH(A181,Releases!$B$2:$B$13,1))</f>
        <v>v2.0.0</v>
      </c>
      <c r="D181" s="23"/>
      <c r="E181" s="23"/>
      <c r="F181" s="23"/>
    </row>
    <row r="182" customFormat="false" ht="15" hidden="false" customHeight="false" outlineLevel="0" collapsed="false">
      <c r="A182" s="21" t="n">
        <v>46487</v>
      </c>
      <c r="B182" s="22" t="str">
        <f aca="false">TEXT(A182,"ddd")</f>
        <v>Sat</v>
      </c>
      <c r="C182" s="22" t="str">
        <f aca="false">INDEX(Releases!$A$2:$A$13,MATCH(A182,Releases!$B$2:$B$13,1))</f>
        <v>v2.0.0</v>
      </c>
      <c r="D182" s="23"/>
      <c r="E182" s="23"/>
      <c r="F182" s="23"/>
    </row>
    <row r="183" customFormat="false" ht="15" hidden="false" customHeight="false" outlineLevel="0" collapsed="false">
      <c r="A183" s="21" t="n">
        <v>46488</v>
      </c>
      <c r="B183" s="22" t="str">
        <f aca="false">TEXT(A183,"ddd")</f>
        <v>Sun</v>
      </c>
      <c r="C183" s="22" t="str">
        <f aca="false">INDEX(Releases!$A$2:$A$13,MATCH(A183,Releases!$B$2:$B$13,1))</f>
        <v>v2.0.0</v>
      </c>
      <c r="D183" s="23"/>
      <c r="E183" s="23"/>
      <c r="F183" s="23"/>
    </row>
    <row r="184" customFormat="false" ht="15" hidden="false" customHeight="false" outlineLevel="0" collapsed="false">
      <c r="A184" s="21" t="n">
        <v>46489</v>
      </c>
      <c r="B184" s="22" t="str">
        <f aca="false">TEXT(A184,"ddd")</f>
        <v>Mon</v>
      </c>
      <c r="C184" s="22" t="str">
        <f aca="false">INDEX(Releases!$A$2:$A$13,MATCH(A184,Releases!$B$2:$B$13,1))</f>
        <v>v2.0.0</v>
      </c>
      <c r="D184" s="23"/>
      <c r="E184" s="23"/>
      <c r="F184" s="23"/>
    </row>
    <row r="185" customFormat="false" ht="15" hidden="false" customHeight="false" outlineLevel="0" collapsed="false">
      <c r="A185" s="21" t="n">
        <v>46490</v>
      </c>
      <c r="B185" s="22" t="str">
        <f aca="false">TEXT(A185,"ddd")</f>
        <v>Tue</v>
      </c>
      <c r="C185" s="22" t="str">
        <f aca="false">INDEX(Releases!$A$2:$A$13,MATCH(A185,Releases!$B$2:$B$13,1))</f>
        <v>v2.0.0</v>
      </c>
      <c r="D185" s="23"/>
      <c r="E185" s="23"/>
      <c r="F185" s="23"/>
    </row>
    <row r="186" customFormat="false" ht="15" hidden="false" customHeight="false" outlineLevel="0" collapsed="false">
      <c r="A186" s="21" t="n">
        <v>46491</v>
      </c>
      <c r="B186" s="22" t="str">
        <f aca="false">TEXT(A186,"ddd")</f>
        <v>Wed</v>
      </c>
      <c r="C186" s="22" t="str">
        <f aca="false">INDEX(Releases!$A$2:$A$13,MATCH(A186,Releases!$B$2:$B$13,1))</f>
        <v>v2.0.0</v>
      </c>
      <c r="D186" s="23"/>
      <c r="E186" s="23"/>
      <c r="F186" s="23"/>
    </row>
    <row r="187" customFormat="false" ht="15" hidden="false" customHeight="false" outlineLevel="0" collapsed="false">
      <c r="A187" s="21" t="n">
        <v>46492</v>
      </c>
      <c r="B187" s="22" t="str">
        <f aca="false">TEXT(A187,"ddd")</f>
        <v>Thu</v>
      </c>
      <c r="C187" s="22" t="str">
        <f aca="false">INDEX(Releases!$A$2:$A$13,MATCH(A187,Releases!$B$2:$B$13,1))</f>
        <v>v2.0.0</v>
      </c>
      <c r="D187" s="23"/>
      <c r="E187" s="23"/>
      <c r="F187" s="23"/>
    </row>
    <row r="188" customFormat="false" ht="15" hidden="false" customHeight="false" outlineLevel="0" collapsed="false">
      <c r="A188" s="21" t="n">
        <v>46493</v>
      </c>
      <c r="B188" s="22" t="str">
        <f aca="false">TEXT(A188,"ddd")</f>
        <v>Fri</v>
      </c>
      <c r="C188" s="22" t="str">
        <f aca="false">INDEX(Releases!$A$2:$A$13,MATCH(A188,Releases!$B$2:$B$13,1))</f>
        <v>v2.1.0</v>
      </c>
      <c r="D188" s="23"/>
      <c r="E188" s="23"/>
      <c r="F188" s="23"/>
    </row>
    <row r="189" customFormat="false" ht="15" hidden="false" customHeight="false" outlineLevel="0" collapsed="false">
      <c r="A189" s="21" t="n">
        <v>46494</v>
      </c>
      <c r="B189" s="22" t="str">
        <f aca="false">TEXT(A189,"ddd")</f>
        <v>Sat</v>
      </c>
      <c r="C189" s="22" t="str">
        <f aca="false">INDEX(Releases!$A$2:$A$13,MATCH(A189,Releases!$B$2:$B$13,1))</f>
        <v>v2.1.0</v>
      </c>
      <c r="D189" s="23"/>
      <c r="E189" s="23"/>
      <c r="F189" s="23"/>
    </row>
    <row r="190" customFormat="false" ht="15" hidden="false" customHeight="false" outlineLevel="0" collapsed="false">
      <c r="A190" s="21" t="n">
        <v>46495</v>
      </c>
      <c r="B190" s="22" t="str">
        <f aca="false">TEXT(A190,"ddd")</f>
        <v>Sun</v>
      </c>
      <c r="C190" s="22" t="str">
        <f aca="false">INDEX(Releases!$A$2:$A$13,MATCH(A190,Releases!$B$2:$B$13,1))</f>
        <v>v2.1.0</v>
      </c>
      <c r="D190" s="23"/>
      <c r="E190" s="23"/>
      <c r="F190" s="23"/>
    </row>
    <row r="191" customFormat="false" ht="15" hidden="false" customHeight="false" outlineLevel="0" collapsed="false">
      <c r="A191" s="21" t="n">
        <v>46496</v>
      </c>
      <c r="B191" s="22" t="str">
        <f aca="false">TEXT(A191,"ddd")</f>
        <v>Mon</v>
      </c>
      <c r="C191" s="22" t="str">
        <f aca="false">INDEX(Releases!$A$2:$A$13,MATCH(A191,Releases!$B$2:$B$13,1))</f>
        <v>v2.1.0</v>
      </c>
      <c r="D191" s="23"/>
      <c r="E191" s="23"/>
      <c r="F191" s="23"/>
    </row>
    <row r="192" customFormat="false" ht="15" hidden="false" customHeight="false" outlineLevel="0" collapsed="false">
      <c r="A192" s="21" t="n">
        <v>46497</v>
      </c>
      <c r="B192" s="22" t="str">
        <f aca="false">TEXT(A192,"ddd")</f>
        <v>Tue</v>
      </c>
      <c r="C192" s="22" t="str">
        <f aca="false">INDEX(Releases!$A$2:$A$13,MATCH(A192,Releases!$B$2:$B$13,1))</f>
        <v>v2.1.0</v>
      </c>
      <c r="D192" s="23"/>
      <c r="E192" s="23"/>
      <c r="F192" s="23"/>
    </row>
    <row r="193" customFormat="false" ht="15" hidden="false" customHeight="false" outlineLevel="0" collapsed="false">
      <c r="A193" s="21" t="n">
        <v>46498</v>
      </c>
      <c r="B193" s="22" t="str">
        <f aca="false">TEXT(A193,"ddd")</f>
        <v>Wed</v>
      </c>
      <c r="C193" s="22" t="str">
        <f aca="false">INDEX(Releases!$A$2:$A$13,MATCH(A193,Releases!$B$2:$B$13,1))</f>
        <v>v2.1.0</v>
      </c>
      <c r="D193" s="23"/>
      <c r="E193" s="23"/>
      <c r="F193" s="23"/>
    </row>
    <row r="194" customFormat="false" ht="15" hidden="false" customHeight="false" outlineLevel="0" collapsed="false">
      <c r="A194" s="21" t="n">
        <v>46499</v>
      </c>
      <c r="B194" s="22" t="str">
        <f aca="false">TEXT(A194,"ddd")</f>
        <v>Thu</v>
      </c>
      <c r="C194" s="22" t="str">
        <f aca="false">INDEX(Releases!$A$2:$A$13,MATCH(A194,Releases!$B$2:$B$13,1))</f>
        <v>v2.1.0</v>
      </c>
      <c r="D194" s="23"/>
      <c r="E194" s="23"/>
      <c r="F194" s="23"/>
    </row>
    <row r="195" customFormat="false" ht="15" hidden="false" customHeight="false" outlineLevel="0" collapsed="false">
      <c r="A195" s="21" t="n">
        <v>46500</v>
      </c>
      <c r="B195" s="22" t="str">
        <f aca="false">TEXT(A195,"ddd")</f>
        <v>Fri</v>
      </c>
      <c r="C195" s="22" t="str">
        <f aca="false">INDEX(Releases!$A$2:$A$13,MATCH(A195,Releases!$B$2:$B$13,1))</f>
        <v>v2.1.0</v>
      </c>
      <c r="D195" s="23"/>
      <c r="E195" s="23"/>
      <c r="F195" s="23"/>
    </row>
    <row r="196" customFormat="false" ht="15" hidden="false" customHeight="false" outlineLevel="0" collapsed="false">
      <c r="A196" s="21" t="n">
        <v>46501</v>
      </c>
      <c r="B196" s="22" t="str">
        <f aca="false">TEXT(A196,"ddd")</f>
        <v>Sat</v>
      </c>
      <c r="C196" s="22" t="str">
        <f aca="false">INDEX(Releases!$A$2:$A$13,MATCH(A196,Releases!$B$2:$B$13,1))</f>
        <v>v2.1.0</v>
      </c>
      <c r="D196" s="23"/>
      <c r="E196" s="23"/>
      <c r="F196" s="23"/>
    </row>
    <row r="197" customFormat="false" ht="15" hidden="false" customHeight="false" outlineLevel="0" collapsed="false">
      <c r="A197" s="21" t="n">
        <v>46502</v>
      </c>
      <c r="B197" s="22" t="str">
        <f aca="false">TEXT(A197,"ddd")</f>
        <v>Sun</v>
      </c>
      <c r="C197" s="22" t="str">
        <f aca="false">INDEX(Releases!$A$2:$A$13,MATCH(A197,Releases!$B$2:$B$13,1))</f>
        <v>v2.1.0</v>
      </c>
      <c r="D197" s="23"/>
      <c r="E197" s="23"/>
      <c r="F197" s="23"/>
    </row>
    <row r="198" customFormat="false" ht="15" hidden="false" customHeight="false" outlineLevel="0" collapsed="false">
      <c r="A198" s="21" t="n">
        <v>46503</v>
      </c>
      <c r="B198" s="22" t="str">
        <f aca="false">TEXT(A198,"ddd")</f>
        <v>Mon</v>
      </c>
      <c r="C198" s="22" t="str">
        <f aca="false">INDEX(Releases!$A$2:$A$13,MATCH(A198,Releases!$B$2:$B$13,1))</f>
        <v>v2.1.0</v>
      </c>
      <c r="D198" s="23"/>
      <c r="E198" s="23"/>
      <c r="F198" s="23"/>
    </row>
    <row r="199" customFormat="false" ht="15" hidden="false" customHeight="false" outlineLevel="0" collapsed="false">
      <c r="A199" s="21" t="n">
        <v>46504</v>
      </c>
      <c r="B199" s="22" t="str">
        <f aca="false">TEXT(A199,"ddd")</f>
        <v>Tue</v>
      </c>
      <c r="C199" s="22" t="str">
        <f aca="false">INDEX(Releases!$A$2:$A$13,MATCH(A199,Releases!$B$2:$B$13,1))</f>
        <v>v2.1.0</v>
      </c>
      <c r="D199" s="23"/>
      <c r="E199" s="23"/>
      <c r="F199" s="23"/>
    </row>
    <row r="200" customFormat="false" ht="15" hidden="false" customHeight="false" outlineLevel="0" collapsed="false">
      <c r="A200" s="21" t="n">
        <v>46505</v>
      </c>
      <c r="B200" s="22" t="str">
        <f aca="false">TEXT(A200,"ddd")</f>
        <v>Wed</v>
      </c>
      <c r="C200" s="22" t="str">
        <f aca="false">INDEX(Releases!$A$2:$A$13,MATCH(A200,Releases!$B$2:$B$13,1))</f>
        <v>v2.1.0</v>
      </c>
      <c r="D200" s="23"/>
      <c r="E200" s="23"/>
      <c r="F200" s="23"/>
    </row>
    <row r="201" customFormat="false" ht="15" hidden="false" customHeight="false" outlineLevel="0" collapsed="false">
      <c r="A201" s="21" t="n">
        <v>46506</v>
      </c>
      <c r="B201" s="22" t="str">
        <f aca="false">TEXT(A201,"ddd")</f>
        <v>Thu</v>
      </c>
      <c r="C201" s="22" t="str">
        <f aca="false">INDEX(Releases!$A$2:$A$13,MATCH(A201,Releases!$B$2:$B$13,1))</f>
        <v>v2.1.0</v>
      </c>
      <c r="D201" s="23"/>
      <c r="E201" s="23"/>
      <c r="F201" s="23"/>
    </row>
    <row r="202" customFormat="false" ht="15" hidden="false" customHeight="false" outlineLevel="0" collapsed="false">
      <c r="A202" s="21" t="n">
        <v>46507</v>
      </c>
      <c r="B202" s="22" t="str">
        <f aca="false">TEXT(A202,"ddd")</f>
        <v>Fri</v>
      </c>
      <c r="C202" s="22" t="str">
        <f aca="false">INDEX(Releases!$A$2:$A$13,MATCH(A202,Releases!$B$2:$B$13,1))</f>
        <v>v2.1.0</v>
      </c>
      <c r="D202" s="23"/>
      <c r="E202" s="23"/>
      <c r="F202" s="23"/>
    </row>
    <row r="203" customFormat="false" ht="15" hidden="false" customHeight="false" outlineLevel="0" collapsed="false">
      <c r="A203" s="21" t="n">
        <v>46508</v>
      </c>
      <c r="B203" s="22" t="str">
        <f aca="false">TEXT(A203,"ddd")</f>
        <v>Sat</v>
      </c>
      <c r="C203" s="22" t="str">
        <f aca="false">INDEX(Releases!$A$2:$A$13,MATCH(A203,Releases!$B$2:$B$13,1))</f>
        <v>v2.1.0</v>
      </c>
      <c r="D203" s="23"/>
      <c r="E203" s="23"/>
      <c r="F203" s="23"/>
    </row>
    <row r="204" customFormat="false" ht="15" hidden="false" customHeight="false" outlineLevel="0" collapsed="false">
      <c r="A204" s="21" t="n">
        <v>46509</v>
      </c>
      <c r="B204" s="22" t="str">
        <f aca="false">TEXT(A204,"ddd")</f>
        <v>Sun</v>
      </c>
      <c r="C204" s="22" t="str">
        <f aca="false">INDEX(Releases!$A$2:$A$13,MATCH(A204,Releases!$B$2:$B$13,1))</f>
        <v>v2.1.0</v>
      </c>
      <c r="D204" s="23"/>
      <c r="E204" s="23"/>
      <c r="F204" s="23"/>
    </row>
    <row r="205" customFormat="false" ht="15" hidden="false" customHeight="false" outlineLevel="0" collapsed="false">
      <c r="A205" s="21" t="n">
        <v>46510</v>
      </c>
      <c r="B205" s="22" t="str">
        <f aca="false">TEXT(A205,"ddd")</f>
        <v>Mon</v>
      </c>
      <c r="C205" s="22" t="str">
        <f aca="false">INDEX(Releases!$A$2:$A$13,MATCH(A205,Releases!$B$2:$B$13,1))</f>
        <v>v2.1.0</v>
      </c>
      <c r="D205" s="23"/>
      <c r="E205" s="23"/>
      <c r="F205" s="23"/>
    </row>
    <row r="206" customFormat="false" ht="15" hidden="false" customHeight="false" outlineLevel="0" collapsed="false">
      <c r="A206" s="21" t="n">
        <v>46511</v>
      </c>
      <c r="B206" s="22" t="str">
        <f aca="false">TEXT(A206,"ddd")</f>
        <v>Tue</v>
      </c>
      <c r="C206" s="22" t="str">
        <f aca="false">INDEX(Releases!$A$2:$A$13,MATCH(A206,Releases!$B$2:$B$13,1))</f>
        <v>v2.1.0</v>
      </c>
      <c r="D206" s="23"/>
      <c r="E206" s="23"/>
      <c r="F206" s="23"/>
    </row>
    <row r="207" customFormat="false" ht="15" hidden="false" customHeight="false" outlineLevel="0" collapsed="false">
      <c r="A207" s="21" t="n">
        <v>46512</v>
      </c>
      <c r="B207" s="22" t="str">
        <f aca="false">TEXT(A207,"ddd")</f>
        <v>Wed</v>
      </c>
      <c r="C207" s="22" t="str">
        <f aca="false">INDEX(Releases!$A$2:$A$13,MATCH(A207,Releases!$B$2:$B$13,1))</f>
        <v>v2.1.0</v>
      </c>
      <c r="D207" s="23"/>
      <c r="E207" s="23"/>
      <c r="F207" s="23"/>
    </row>
    <row r="208" customFormat="false" ht="15" hidden="false" customHeight="false" outlineLevel="0" collapsed="false">
      <c r="A208" s="21" t="n">
        <v>46513</v>
      </c>
      <c r="B208" s="22" t="str">
        <f aca="false">TEXT(A208,"ddd")</f>
        <v>Thu</v>
      </c>
      <c r="C208" s="22" t="str">
        <f aca="false">INDEX(Releases!$A$2:$A$13,MATCH(A208,Releases!$B$2:$B$13,1))</f>
        <v>v2.1.0</v>
      </c>
      <c r="D208" s="23"/>
      <c r="E208" s="23"/>
      <c r="F208" s="23"/>
    </row>
    <row r="209" customFormat="false" ht="15" hidden="false" customHeight="false" outlineLevel="0" collapsed="false">
      <c r="A209" s="21" t="n">
        <v>46514</v>
      </c>
      <c r="B209" s="22" t="str">
        <f aca="false">TEXT(A209,"ddd")</f>
        <v>Fri</v>
      </c>
      <c r="C209" s="22" t="str">
        <f aca="false">INDEX(Releases!$A$2:$A$13,MATCH(A209,Releases!$B$2:$B$13,1))</f>
        <v>v2.1.0</v>
      </c>
      <c r="D209" s="23"/>
      <c r="E209" s="23"/>
      <c r="F209" s="23"/>
    </row>
    <row r="210" customFormat="false" ht="15" hidden="false" customHeight="false" outlineLevel="0" collapsed="false">
      <c r="A210" s="21" t="n">
        <v>46515</v>
      </c>
      <c r="B210" s="22" t="str">
        <f aca="false">TEXT(A210,"ddd")</f>
        <v>Sat</v>
      </c>
      <c r="C210" s="22" t="str">
        <f aca="false">INDEX(Releases!$A$2:$A$13,MATCH(A210,Releases!$B$2:$B$13,1))</f>
        <v>v2.1.0</v>
      </c>
      <c r="D210" s="23"/>
      <c r="E210" s="23"/>
      <c r="F210" s="23"/>
    </row>
    <row r="211" customFormat="false" ht="15" hidden="false" customHeight="false" outlineLevel="0" collapsed="false">
      <c r="A211" s="21" t="n">
        <v>46516</v>
      </c>
      <c r="B211" s="22" t="str">
        <f aca="false">TEXT(A211,"ddd")</f>
        <v>Sun</v>
      </c>
      <c r="C211" s="22" t="str">
        <f aca="false">INDEX(Releases!$A$2:$A$13,MATCH(A211,Releases!$B$2:$B$13,1))</f>
        <v>v2.1.0</v>
      </c>
      <c r="D211" s="23"/>
      <c r="E211" s="23"/>
      <c r="F211" s="23"/>
    </row>
    <row r="212" customFormat="false" ht="15" hidden="false" customHeight="false" outlineLevel="0" collapsed="false">
      <c r="A212" s="21" t="n">
        <v>46517</v>
      </c>
      <c r="B212" s="22" t="str">
        <f aca="false">TEXT(A212,"ddd")</f>
        <v>Mon</v>
      </c>
      <c r="C212" s="22" t="str">
        <f aca="false">INDEX(Releases!$A$2:$A$13,MATCH(A212,Releases!$B$2:$B$13,1))</f>
        <v>v2.1.0</v>
      </c>
      <c r="D212" s="23"/>
      <c r="E212" s="23"/>
      <c r="F212" s="23"/>
    </row>
    <row r="213" customFormat="false" ht="15" hidden="false" customHeight="false" outlineLevel="0" collapsed="false">
      <c r="A213" s="21" t="n">
        <v>46518</v>
      </c>
      <c r="B213" s="22" t="str">
        <f aca="false">TEXT(A213,"ddd")</f>
        <v>Tue</v>
      </c>
      <c r="C213" s="22" t="str">
        <f aca="false">INDEX(Releases!$A$2:$A$13,MATCH(A213,Releases!$B$2:$B$13,1))</f>
        <v>v2.1.0</v>
      </c>
      <c r="D213" s="23"/>
      <c r="E213" s="23"/>
      <c r="F213" s="23"/>
    </row>
    <row r="214" customFormat="false" ht="15" hidden="false" customHeight="false" outlineLevel="0" collapsed="false">
      <c r="A214" s="21" t="n">
        <v>46519</v>
      </c>
      <c r="B214" s="22" t="str">
        <f aca="false">TEXT(A214,"ddd")</f>
        <v>Wed</v>
      </c>
      <c r="C214" s="22" t="str">
        <f aca="false">INDEX(Releases!$A$2:$A$13,MATCH(A214,Releases!$B$2:$B$13,1))</f>
        <v>v2.1.0</v>
      </c>
      <c r="D214" s="23"/>
      <c r="E214" s="23"/>
      <c r="F214" s="23"/>
    </row>
    <row r="215" customFormat="false" ht="15" hidden="false" customHeight="false" outlineLevel="0" collapsed="false">
      <c r="A215" s="21" t="n">
        <v>46520</v>
      </c>
      <c r="B215" s="22" t="str">
        <f aca="false">TEXT(A215,"ddd")</f>
        <v>Thu</v>
      </c>
      <c r="C215" s="22" t="str">
        <f aca="false">INDEX(Releases!$A$2:$A$13,MATCH(A215,Releases!$B$2:$B$13,1))</f>
        <v>v2.1.0</v>
      </c>
      <c r="D215" s="23"/>
      <c r="E215" s="23"/>
      <c r="F215" s="23"/>
    </row>
    <row r="216" customFormat="false" ht="15" hidden="false" customHeight="false" outlineLevel="0" collapsed="false">
      <c r="A216" s="21" t="n">
        <v>46521</v>
      </c>
      <c r="B216" s="22" t="str">
        <f aca="false">TEXT(A216,"ddd")</f>
        <v>Fri</v>
      </c>
      <c r="C216" s="22" t="str">
        <f aca="false">INDEX(Releases!$A$2:$A$13,MATCH(A216,Releases!$B$2:$B$13,1))</f>
        <v>v2.1.0</v>
      </c>
      <c r="D216" s="23"/>
      <c r="E216" s="23"/>
      <c r="F216" s="23"/>
    </row>
    <row r="217" customFormat="false" ht="15" hidden="false" customHeight="false" outlineLevel="0" collapsed="false">
      <c r="A217" s="21" t="n">
        <v>46522</v>
      </c>
      <c r="B217" s="22" t="str">
        <f aca="false">TEXT(A217,"ddd")</f>
        <v>Sat</v>
      </c>
      <c r="C217" s="22" t="str">
        <f aca="false">INDEX(Releases!$A$2:$A$13,MATCH(A217,Releases!$B$2:$B$13,1))</f>
        <v>v2.1.0</v>
      </c>
      <c r="D217" s="23"/>
      <c r="E217" s="23"/>
      <c r="F217" s="23"/>
    </row>
    <row r="218" customFormat="false" ht="15" hidden="false" customHeight="false" outlineLevel="0" collapsed="false">
      <c r="A218" s="21" t="n">
        <v>46523</v>
      </c>
      <c r="B218" s="22" t="str">
        <f aca="false">TEXT(A218,"ddd")</f>
        <v>Sun</v>
      </c>
      <c r="C218" s="22" t="str">
        <f aca="false">INDEX(Releases!$A$2:$A$13,MATCH(A218,Releases!$B$2:$B$13,1))</f>
        <v>v3.0.0</v>
      </c>
      <c r="D218" s="23"/>
      <c r="E218" s="23"/>
      <c r="F218" s="23"/>
    </row>
    <row r="219" customFormat="false" ht="15" hidden="false" customHeight="false" outlineLevel="0" collapsed="false">
      <c r="A219" s="21" t="n">
        <v>46524</v>
      </c>
      <c r="B219" s="22" t="str">
        <f aca="false">TEXT(A219,"ddd")</f>
        <v>Mon</v>
      </c>
      <c r="C219" s="22" t="str">
        <f aca="false">INDEX(Releases!$A$2:$A$13,MATCH(A219,Releases!$B$2:$B$13,1))</f>
        <v>v3.0.0</v>
      </c>
      <c r="D219" s="23"/>
      <c r="E219" s="23"/>
      <c r="F219" s="23"/>
    </row>
    <row r="220" customFormat="false" ht="15" hidden="false" customHeight="false" outlineLevel="0" collapsed="false">
      <c r="A220" s="21" t="n">
        <v>46525</v>
      </c>
      <c r="B220" s="22" t="str">
        <f aca="false">TEXT(A220,"ddd")</f>
        <v>Tue</v>
      </c>
      <c r="C220" s="22" t="str">
        <f aca="false">INDEX(Releases!$A$2:$A$13,MATCH(A220,Releases!$B$2:$B$13,1))</f>
        <v>v3.0.0</v>
      </c>
      <c r="D220" s="23"/>
      <c r="E220" s="23"/>
      <c r="F220" s="23"/>
    </row>
    <row r="221" customFormat="false" ht="15" hidden="false" customHeight="false" outlineLevel="0" collapsed="false">
      <c r="A221" s="21" t="n">
        <v>46526</v>
      </c>
      <c r="B221" s="22" t="str">
        <f aca="false">TEXT(A221,"ddd")</f>
        <v>Wed</v>
      </c>
      <c r="C221" s="22" t="str">
        <f aca="false">INDEX(Releases!$A$2:$A$13,MATCH(A221,Releases!$B$2:$B$13,1))</f>
        <v>v3.0.0</v>
      </c>
      <c r="D221" s="23"/>
      <c r="E221" s="23"/>
      <c r="F221" s="23"/>
    </row>
    <row r="222" customFormat="false" ht="15" hidden="false" customHeight="false" outlineLevel="0" collapsed="false">
      <c r="A222" s="21" t="n">
        <v>46527</v>
      </c>
      <c r="B222" s="22" t="str">
        <f aca="false">TEXT(A222,"ddd")</f>
        <v>Thu</v>
      </c>
      <c r="C222" s="22" t="str">
        <f aca="false">INDEX(Releases!$A$2:$A$13,MATCH(A222,Releases!$B$2:$B$13,1))</f>
        <v>v3.0.0</v>
      </c>
      <c r="D222" s="23"/>
      <c r="E222" s="23"/>
      <c r="F222" s="23"/>
    </row>
    <row r="223" customFormat="false" ht="15" hidden="false" customHeight="false" outlineLevel="0" collapsed="false">
      <c r="A223" s="21" t="n">
        <v>46528</v>
      </c>
      <c r="B223" s="22" t="str">
        <f aca="false">TEXT(A223,"ddd")</f>
        <v>Fri</v>
      </c>
      <c r="C223" s="22" t="str">
        <f aca="false">INDEX(Releases!$A$2:$A$13,MATCH(A223,Releases!$B$2:$B$13,1))</f>
        <v>v3.0.0</v>
      </c>
      <c r="D223" s="23"/>
      <c r="E223" s="23"/>
      <c r="F223" s="23"/>
    </row>
    <row r="224" customFormat="false" ht="15" hidden="false" customHeight="false" outlineLevel="0" collapsed="false">
      <c r="A224" s="21" t="n">
        <v>46529</v>
      </c>
      <c r="B224" s="22" t="str">
        <f aca="false">TEXT(A224,"ddd")</f>
        <v>Sat</v>
      </c>
      <c r="C224" s="22" t="str">
        <f aca="false">INDEX(Releases!$A$2:$A$13,MATCH(A224,Releases!$B$2:$B$13,1))</f>
        <v>v3.0.0</v>
      </c>
      <c r="D224" s="23"/>
      <c r="E224" s="23"/>
      <c r="F224" s="23"/>
    </row>
    <row r="225" customFormat="false" ht="15" hidden="false" customHeight="false" outlineLevel="0" collapsed="false">
      <c r="A225" s="21" t="n">
        <v>46530</v>
      </c>
      <c r="B225" s="22" t="str">
        <f aca="false">TEXT(A225,"ddd")</f>
        <v>Sun</v>
      </c>
      <c r="C225" s="22" t="str">
        <f aca="false">INDEX(Releases!$A$2:$A$13,MATCH(A225,Releases!$B$2:$B$13,1))</f>
        <v>v3.0.0</v>
      </c>
      <c r="D225" s="23"/>
      <c r="E225" s="23"/>
      <c r="F225" s="23"/>
    </row>
    <row r="226" customFormat="false" ht="15" hidden="false" customHeight="false" outlineLevel="0" collapsed="false">
      <c r="A226" s="21" t="n">
        <v>46531</v>
      </c>
      <c r="B226" s="22" t="str">
        <f aca="false">TEXT(A226,"ddd")</f>
        <v>Mon</v>
      </c>
      <c r="C226" s="22" t="str">
        <f aca="false">INDEX(Releases!$A$2:$A$13,MATCH(A226,Releases!$B$2:$B$13,1))</f>
        <v>v3.0.0</v>
      </c>
      <c r="D226" s="23"/>
      <c r="E226" s="23"/>
      <c r="F226" s="23"/>
    </row>
    <row r="227" customFormat="false" ht="15" hidden="false" customHeight="false" outlineLevel="0" collapsed="false">
      <c r="A227" s="21" t="n">
        <v>46532</v>
      </c>
      <c r="B227" s="22" t="str">
        <f aca="false">TEXT(A227,"ddd")</f>
        <v>Tue</v>
      </c>
      <c r="C227" s="22" t="str">
        <f aca="false">INDEX(Releases!$A$2:$A$13,MATCH(A227,Releases!$B$2:$B$13,1))</f>
        <v>v3.0.0</v>
      </c>
      <c r="D227" s="23"/>
      <c r="E227" s="23"/>
      <c r="F227" s="23"/>
    </row>
    <row r="228" customFormat="false" ht="15" hidden="false" customHeight="false" outlineLevel="0" collapsed="false">
      <c r="A228" s="21" t="n">
        <v>46533</v>
      </c>
      <c r="B228" s="22" t="str">
        <f aca="false">TEXT(A228,"ddd")</f>
        <v>Wed</v>
      </c>
      <c r="C228" s="22" t="str">
        <f aca="false">INDEX(Releases!$A$2:$A$13,MATCH(A228,Releases!$B$2:$B$13,1))</f>
        <v>v3.0.0</v>
      </c>
      <c r="D228" s="23"/>
      <c r="E228" s="23"/>
      <c r="F228" s="23"/>
    </row>
    <row r="229" customFormat="false" ht="15" hidden="false" customHeight="false" outlineLevel="0" collapsed="false">
      <c r="A229" s="21" t="n">
        <v>46534</v>
      </c>
      <c r="B229" s="22" t="str">
        <f aca="false">TEXT(A229,"ddd")</f>
        <v>Thu</v>
      </c>
      <c r="C229" s="22" t="str">
        <f aca="false">INDEX(Releases!$A$2:$A$13,MATCH(A229,Releases!$B$2:$B$13,1))</f>
        <v>v3.0.0</v>
      </c>
      <c r="D229" s="23"/>
      <c r="E229" s="23"/>
      <c r="F229" s="23"/>
    </row>
    <row r="230" customFormat="false" ht="15" hidden="false" customHeight="false" outlineLevel="0" collapsed="false">
      <c r="A230" s="21" t="n">
        <v>46535</v>
      </c>
      <c r="B230" s="22" t="str">
        <f aca="false">TEXT(A230,"ddd")</f>
        <v>Fri</v>
      </c>
      <c r="C230" s="22" t="str">
        <f aca="false">INDEX(Releases!$A$2:$A$13,MATCH(A230,Releases!$B$2:$B$13,1))</f>
        <v>v3.0.0</v>
      </c>
      <c r="D230" s="23"/>
      <c r="E230" s="23"/>
      <c r="F230" s="23"/>
    </row>
    <row r="231" customFormat="false" ht="15" hidden="false" customHeight="false" outlineLevel="0" collapsed="false">
      <c r="A231" s="21" t="n">
        <v>46536</v>
      </c>
      <c r="B231" s="22" t="str">
        <f aca="false">TEXT(A231,"ddd")</f>
        <v>Sat</v>
      </c>
      <c r="C231" s="22" t="str">
        <f aca="false">INDEX(Releases!$A$2:$A$13,MATCH(A231,Releases!$B$2:$B$13,1))</f>
        <v>v3.0.0</v>
      </c>
      <c r="D231" s="23"/>
      <c r="E231" s="23"/>
      <c r="F231" s="23"/>
    </row>
    <row r="232" customFormat="false" ht="15" hidden="false" customHeight="false" outlineLevel="0" collapsed="false">
      <c r="A232" s="21" t="n">
        <v>46537</v>
      </c>
      <c r="B232" s="22" t="str">
        <f aca="false">TEXT(A232,"ddd")</f>
        <v>Sun</v>
      </c>
      <c r="C232" s="22" t="str">
        <f aca="false">INDEX(Releases!$A$2:$A$13,MATCH(A232,Releases!$B$2:$B$13,1))</f>
        <v>v3.0.0</v>
      </c>
      <c r="D232" s="23"/>
      <c r="E232" s="23"/>
      <c r="F232" s="23"/>
    </row>
    <row r="233" customFormat="false" ht="15" hidden="false" customHeight="false" outlineLevel="0" collapsed="false">
      <c r="A233" s="21" t="n">
        <v>46538</v>
      </c>
      <c r="B233" s="22" t="str">
        <f aca="false">TEXT(A233,"ddd")</f>
        <v>Mon</v>
      </c>
      <c r="C233" s="22" t="str">
        <f aca="false">INDEX(Releases!$A$2:$A$13,MATCH(A233,Releases!$B$2:$B$13,1))</f>
        <v>v3.0.0</v>
      </c>
      <c r="D233" s="23"/>
      <c r="E233" s="23"/>
      <c r="F233" s="23"/>
    </row>
    <row r="234" customFormat="false" ht="15" hidden="false" customHeight="false" outlineLevel="0" collapsed="false">
      <c r="A234" s="21" t="n">
        <v>46539</v>
      </c>
      <c r="B234" s="22" t="str">
        <f aca="false">TEXT(A234,"ddd")</f>
        <v>Tue</v>
      </c>
      <c r="C234" s="22" t="str">
        <f aca="false">INDEX(Releases!$A$2:$A$13,MATCH(A234,Releases!$B$2:$B$13,1))</f>
        <v>v3.0.0</v>
      </c>
      <c r="D234" s="23"/>
      <c r="E234" s="23"/>
      <c r="F234" s="23"/>
    </row>
    <row r="235" customFormat="false" ht="15" hidden="false" customHeight="false" outlineLevel="0" collapsed="false">
      <c r="A235" s="21" t="n">
        <v>46540</v>
      </c>
      <c r="B235" s="22" t="str">
        <f aca="false">TEXT(A235,"ddd")</f>
        <v>Wed</v>
      </c>
      <c r="C235" s="22" t="str">
        <f aca="false">INDEX(Releases!$A$2:$A$13,MATCH(A235,Releases!$B$2:$B$13,1))</f>
        <v>v3.0.0</v>
      </c>
      <c r="D235" s="23"/>
      <c r="E235" s="23"/>
      <c r="F235" s="23"/>
    </row>
    <row r="236" customFormat="false" ht="15" hidden="false" customHeight="false" outlineLevel="0" collapsed="false">
      <c r="A236" s="21" t="n">
        <v>46541</v>
      </c>
      <c r="B236" s="22" t="str">
        <f aca="false">TEXT(A236,"ddd")</f>
        <v>Thu</v>
      </c>
      <c r="C236" s="22" t="str">
        <f aca="false">INDEX(Releases!$A$2:$A$13,MATCH(A236,Releases!$B$2:$B$13,1))</f>
        <v>v3.0.0</v>
      </c>
      <c r="D236" s="23"/>
      <c r="E236" s="23"/>
      <c r="F236" s="23"/>
    </row>
    <row r="237" customFormat="false" ht="15" hidden="false" customHeight="false" outlineLevel="0" collapsed="false">
      <c r="A237" s="21" t="n">
        <v>46542</v>
      </c>
      <c r="B237" s="22" t="str">
        <f aca="false">TEXT(A237,"ddd")</f>
        <v>Fri</v>
      </c>
      <c r="C237" s="22" t="str">
        <f aca="false">INDEX(Releases!$A$2:$A$13,MATCH(A237,Releases!$B$2:$B$13,1))</f>
        <v>v3.0.0</v>
      </c>
      <c r="D237" s="23"/>
      <c r="E237" s="23"/>
      <c r="F237" s="23"/>
    </row>
    <row r="238" customFormat="false" ht="15" hidden="false" customHeight="false" outlineLevel="0" collapsed="false">
      <c r="A238" s="21" t="n">
        <v>46543</v>
      </c>
      <c r="B238" s="22" t="str">
        <f aca="false">TEXT(A238,"ddd")</f>
        <v>Sat</v>
      </c>
      <c r="C238" s="22" t="str">
        <f aca="false">INDEX(Releases!$A$2:$A$13,MATCH(A238,Releases!$B$2:$B$13,1))</f>
        <v>v3.0.0</v>
      </c>
      <c r="D238" s="23"/>
      <c r="E238" s="23"/>
      <c r="F238" s="23"/>
    </row>
    <row r="239" customFormat="false" ht="15" hidden="false" customHeight="false" outlineLevel="0" collapsed="false">
      <c r="A239" s="21" t="n">
        <v>46544</v>
      </c>
      <c r="B239" s="22" t="str">
        <f aca="false">TEXT(A239,"ddd")</f>
        <v>Sun</v>
      </c>
      <c r="C239" s="22" t="str">
        <f aca="false">INDEX(Releases!$A$2:$A$13,MATCH(A239,Releases!$B$2:$B$13,1))</f>
        <v>v3.0.0</v>
      </c>
      <c r="D239" s="23"/>
      <c r="E239" s="23"/>
      <c r="F239" s="23"/>
    </row>
    <row r="240" customFormat="false" ht="15" hidden="false" customHeight="false" outlineLevel="0" collapsed="false">
      <c r="A240" s="21" t="n">
        <v>46545</v>
      </c>
      <c r="B240" s="22" t="str">
        <f aca="false">TEXT(A240,"ddd")</f>
        <v>Mon</v>
      </c>
      <c r="C240" s="22" t="str">
        <f aca="false">INDEX(Releases!$A$2:$A$13,MATCH(A240,Releases!$B$2:$B$13,1))</f>
        <v>v3.0.0</v>
      </c>
      <c r="D240" s="23"/>
      <c r="E240" s="23"/>
      <c r="F240" s="23"/>
    </row>
    <row r="241" customFormat="false" ht="15" hidden="false" customHeight="false" outlineLevel="0" collapsed="false">
      <c r="A241" s="21" t="n">
        <v>46546</v>
      </c>
      <c r="B241" s="22" t="str">
        <f aca="false">TEXT(A241,"ddd")</f>
        <v>Tue</v>
      </c>
      <c r="C241" s="22" t="str">
        <f aca="false">INDEX(Releases!$A$2:$A$13,MATCH(A241,Releases!$B$2:$B$13,1))</f>
        <v>v3.0.0</v>
      </c>
      <c r="D241" s="23"/>
      <c r="E241" s="23"/>
      <c r="F241" s="23"/>
    </row>
    <row r="242" customFormat="false" ht="15" hidden="false" customHeight="false" outlineLevel="0" collapsed="false">
      <c r="A242" s="21" t="n">
        <v>46547</v>
      </c>
      <c r="B242" s="22" t="str">
        <f aca="false">TEXT(A242,"ddd")</f>
        <v>Wed</v>
      </c>
      <c r="C242" s="22" t="str">
        <f aca="false">INDEX(Releases!$A$2:$A$13,MATCH(A242,Releases!$B$2:$B$13,1))</f>
        <v>v3.0.0</v>
      </c>
      <c r="D242" s="23"/>
      <c r="E242" s="23"/>
      <c r="F242" s="23"/>
    </row>
    <row r="243" customFormat="false" ht="15" hidden="false" customHeight="false" outlineLevel="0" collapsed="false">
      <c r="A243" s="21" t="n">
        <v>46548</v>
      </c>
      <c r="B243" s="22" t="str">
        <f aca="false">TEXT(A243,"ddd")</f>
        <v>Thu</v>
      </c>
      <c r="C243" s="22" t="str">
        <f aca="false">INDEX(Releases!$A$2:$A$13,MATCH(A243,Releases!$B$2:$B$13,1))</f>
        <v>v3.0.0</v>
      </c>
      <c r="D243" s="23"/>
      <c r="E243" s="23"/>
      <c r="F243" s="23"/>
    </row>
    <row r="244" customFormat="false" ht="15" hidden="false" customHeight="false" outlineLevel="0" collapsed="false">
      <c r="A244" s="21" t="n">
        <v>46549</v>
      </c>
      <c r="B244" s="22" t="str">
        <f aca="false">TEXT(A244,"ddd")</f>
        <v>Fri</v>
      </c>
      <c r="C244" s="22" t="str">
        <f aca="false">INDEX(Releases!$A$2:$A$13,MATCH(A244,Releases!$B$2:$B$13,1))</f>
        <v>v3.0.0</v>
      </c>
      <c r="D244" s="23"/>
      <c r="E244" s="23"/>
      <c r="F244" s="23"/>
    </row>
    <row r="245" customFormat="false" ht="15" hidden="false" customHeight="false" outlineLevel="0" collapsed="false">
      <c r="A245" s="21" t="n">
        <v>46550</v>
      </c>
      <c r="B245" s="22" t="str">
        <f aca="false">TEXT(A245,"ddd")</f>
        <v>Sat</v>
      </c>
      <c r="C245" s="22" t="str">
        <f aca="false">INDEX(Releases!$A$2:$A$13,MATCH(A245,Releases!$B$2:$B$13,1))</f>
        <v>v3.0.0</v>
      </c>
      <c r="D245" s="23"/>
      <c r="E245" s="23"/>
      <c r="F245" s="23"/>
    </row>
    <row r="246" customFormat="false" ht="15" hidden="false" customHeight="false" outlineLevel="0" collapsed="false">
      <c r="A246" s="21" t="n">
        <v>46551</v>
      </c>
      <c r="B246" s="22" t="str">
        <f aca="false">TEXT(A246,"ddd")</f>
        <v>Sun</v>
      </c>
      <c r="C246" s="22" t="str">
        <f aca="false">INDEX(Releases!$A$2:$A$13,MATCH(A246,Releases!$B$2:$B$13,1))</f>
        <v>v3.0.0</v>
      </c>
      <c r="D246" s="23"/>
      <c r="E246" s="23"/>
      <c r="F246" s="23"/>
    </row>
    <row r="247" customFormat="false" ht="15" hidden="false" customHeight="false" outlineLevel="0" collapsed="false">
      <c r="A247" s="21" t="n">
        <v>46552</v>
      </c>
      <c r="B247" s="22" t="str">
        <f aca="false">TEXT(A247,"ddd")</f>
        <v>Mon</v>
      </c>
      <c r="C247" s="22" t="str">
        <f aca="false">INDEX(Releases!$A$2:$A$13,MATCH(A247,Releases!$B$2:$B$13,1))</f>
        <v>v3.0.0</v>
      </c>
      <c r="D247" s="23"/>
      <c r="E247" s="23"/>
      <c r="F247" s="23"/>
    </row>
    <row r="248" customFormat="false" ht="15" hidden="false" customHeight="false" outlineLevel="0" collapsed="false">
      <c r="A248" s="21" t="n">
        <v>46553</v>
      </c>
      <c r="B248" s="22" t="str">
        <f aca="false">TEXT(A248,"ddd")</f>
        <v>Tue</v>
      </c>
      <c r="C248" s="22" t="str">
        <f aca="false">INDEX(Releases!$A$2:$A$13,MATCH(A248,Releases!$B$2:$B$13,1))</f>
        <v>v3.0.0</v>
      </c>
      <c r="D248" s="23"/>
      <c r="E248" s="23"/>
      <c r="F248" s="23"/>
    </row>
    <row r="249" customFormat="false" ht="15" hidden="false" customHeight="false" outlineLevel="0" collapsed="false">
      <c r="A249" s="21" t="n">
        <v>46554</v>
      </c>
      <c r="B249" s="22" t="str">
        <f aca="false">TEXT(A249,"ddd")</f>
        <v>Wed</v>
      </c>
      <c r="C249" s="22" t="str">
        <f aca="false">INDEX(Releases!$A$2:$A$13,MATCH(A249,Releases!$B$2:$B$13,1))</f>
        <v>v3.1.0</v>
      </c>
      <c r="D249" s="23"/>
      <c r="E249" s="23"/>
      <c r="F249" s="23"/>
    </row>
    <row r="250" customFormat="false" ht="15" hidden="false" customHeight="false" outlineLevel="0" collapsed="false">
      <c r="A250" s="21" t="n">
        <v>46555</v>
      </c>
      <c r="B250" s="22" t="str">
        <f aca="false">TEXT(A250,"ddd")</f>
        <v>Thu</v>
      </c>
      <c r="C250" s="22" t="str">
        <f aca="false">INDEX(Releases!$A$2:$A$13,MATCH(A250,Releases!$B$2:$B$13,1))</f>
        <v>v3.1.0</v>
      </c>
      <c r="D250" s="23"/>
      <c r="E250" s="23"/>
      <c r="F250" s="23"/>
    </row>
    <row r="251" customFormat="false" ht="15" hidden="false" customHeight="false" outlineLevel="0" collapsed="false">
      <c r="A251" s="21" t="n">
        <v>46556</v>
      </c>
      <c r="B251" s="22" t="str">
        <f aca="false">TEXT(A251,"ddd")</f>
        <v>Fri</v>
      </c>
      <c r="C251" s="22" t="str">
        <f aca="false">INDEX(Releases!$A$2:$A$13,MATCH(A251,Releases!$B$2:$B$13,1))</f>
        <v>v3.1.0</v>
      </c>
      <c r="D251" s="23"/>
      <c r="E251" s="23"/>
      <c r="F251" s="23"/>
    </row>
    <row r="252" customFormat="false" ht="15" hidden="false" customHeight="false" outlineLevel="0" collapsed="false">
      <c r="A252" s="21" t="n">
        <v>46557</v>
      </c>
      <c r="B252" s="22" t="str">
        <f aca="false">TEXT(A252,"ddd")</f>
        <v>Sat</v>
      </c>
      <c r="C252" s="22" t="str">
        <f aca="false">INDEX(Releases!$A$2:$A$13,MATCH(A252,Releases!$B$2:$B$13,1))</f>
        <v>v3.1.0</v>
      </c>
      <c r="D252" s="23"/>
      <c r="E252" s="23"/>
      <c r="F252" s="23"/>
    </row>
    <row r="253" customFormat="false" ht="15" hidden="false" customHeight="false" outlineLevel="0" collapsed="false">
      <c r="A253" s="21" t="n">
        <v>46558</v>
      </c>
      <c r="B253" s="22" t="str">
        <f aca="false">TEXT(A253,"ddd")</f>
        <v>Sun</v>
      </c>
      <c r="C253" s="22" t="str">
        <f aca="false">INDEX(Releases!$A$2:$A$13,MATCH(A253,Releases!$B$2:$B$13,1))</f>
        <v>v3.1.0</v>
      </c>
      <c r="D253" s="23"/>
      <c r="E253" s="23"/>
      <c r="F253" s="23"/>
    </row>
    <row r="254" customFormat="false" ht="15" hidden="false" customHeight="false" outlineLevel="0" collapsed="false">
      <c r="A254" s="21" t="n">
        <v>46559</v>
      </c>
      <c r="B254" s="22" t="str">
        <f aca="false">TEXT(A254,"ddd")</f>
        <v>Mon</v>
      </c>
      <c r="C254" s="22" t="str">
        <f aca="false">INDEX(Releases!$A$2:$A$13,MATCH(A254,Releases!$B$2:$B$13,1))</f>
        <v>v3.1.0</v>
      </c>
      <c r="D254" s="23"/>
      <c r="E254" s="23"/>
      <c r="F254" s="23"/>
    </row>
    <row r="255" customFormat="false" ht="15" hidden="false" customHeight="false" outlineLevel="0" collapsed="false">
      <c r="A255" s="21" t="n">
        <v>46560</v>
      </c>
      <c r="B255" s="22" t="str">
        <f aca="false">TEXT(A255,"ddd")</f>
        <v>Tue</v>
      </c>
      <c r="C255" s="22" t="str">
        <f aca="false">INDEX(Releases!$A$2:$A$13,MATCH(A255,Releases!$B$2:$B$13,1))</f>
        <v>v3.1.0</v>
      </c>
      <c r="D255" s="23"/>
      <c r="E255" s="23"/>
      <c r="F255" s="23"/>
    </row>
    <row r="256" customFormat="false" ht="15" hidden="false" customHeight="false" outlineLevel="0" collapsed="false">
      <c r="A256" s="21" t="n">
        <v>46561</v>
      </c>
      <c r="B256" s="22" t="str">
        <f aca="false">TEXT(A256,"ddd")</f>
        <v>Wed</v>
      </c>
      <c r="C256" s="22" t="str">
        <f aca="false">INDEX(Releases!$A$2:$A$13,MATCH(A256,Releases!$B$2:$B$13,1))</f>
        <v>v3.1.0</v>
      </c>
      <c r="D256" s="23"/>
      <c r="E256" s="23"/>
      <c r="F256" s="23"/>
    </row>
    <row r="257" customFormat="false" ht="15" hidden="false" customHeight="false" outlineLevel="0" collapsed="false">
      <c r="A257" s="21" t="n">
        <v>46562</v>
      </c>
      <c r="B257" s="22" t="str">
        <f aca="false">TEXT(A257,"ddd")</f>
        <v>Thu</v>
      </c>
      <c r="C257" s="22" t="str">
        <f aca="false">INDEX(Releases!$A$2:$A$13,MATCH(A257,Releases!$B$2:$B$13,1))</f>
        <v>v3.1.0</v>
      </c>
      <c r="D257" s="23"/>
      <c r="E257" s="23"/>
      <c r="F257" s="23"/>
    </row>
    <row r="258" customFormat="false" ht="15" hidden="false" customHeight="false" outlineLevel="0" collapsed="false">
      <c r="A258" s="21" t="n">
        <v>46563</v>
      </c>
      <c r="B258" s="22" t="str">
        <f aca="false">TEXT(A258,"ddd")</f>
        <v>Fri</v>
      </c>
      <c r="C258" s="22" t="str">
        <f aca="false">INDEX(Releases!$A$2:$A$13,MATCH(A258,Releases!$B$2:$B$13,1))</f>
        <v>v3.1.0</v>
      </c>
      <c r="D258" s="23"/>
      <c r="E258" s="23"/>
      <c r="F258" s="23"/>
    </row>
    <row r="259" customFormat="false" ht="15" hidden="false" customHeight="false" outlineLevel="0" collapsed="false">
      <c r="A259" s="21" t="n">
        <v>46564</v>
      </c>
      <c r="B259" s="22" t="str">
        <f aca="false">TEXT(A259,"ddd")</f>
        <v>Sat</v>
      </c>
      <c r="C259" s="22" t="str">
        <f aca="false">INDEX(Releases!$A$2:$A$13,MATCH(A259,Releases!$B$2:$B$13,1))</f>
        <v>v3.1.0</v>
      </c>
      <c r="D259" s="23"/>
      <c r="E259" s="23"/>
      <c r="F259" s="23"/>
    </row>
    <row r="260" customFormat="false" ht="15" hidden="false" customHeight="false" outlineLevel="0" collapsed="false">
      <c r="A260" s="21" t="n">
        <v>46565</v>
      </c>
      <c r="B260" s="22" t="str">
        <f aca="false">TEXT(A260,"ddd")</f>
        <v>Sun</v>
      </c>
      <c r="C260" s="22" t="str">
        <f aca="false">INDEX(Releases!$A$2:$A$13,MATCH(A260,Releases!$B$2:$B$13,1))</f>
        <v>v3.1.0</v>
      </c>
      <c r="D260" s="23"/>
      <c r="E260" s="23"/>
      <c r="F260" s="23"/>
    </row>
    <row r="261" customFormat="false" ht="15" hidden="false" customHeight="false" outlineLevel="0" collapsed="false">
      <c r="A261" s="21" t="n">
        <v>46566</v>
      </c>
      <c r="B261" s="22" t="str">
        <f aca="false">TEXT(A261,"ddd")</f>
        <v>Mon</v>
      </c>
      <c r="C261" s="22" t="str">
        <f aca="false">INDEX(Releases!$A$2:$A$13,MATCH(A261,Releases!$B$2:$B$13,1))</f>
        <v>v3.1.0</v>
      </c>
      <c r="D261" s="23"/>
      <c r="E261" s="23"/>
      <c r="F261" s="23"/>
    </row>
    <row r="262" customFormat="false" ht="15" hidden="false" customHeight="false" outlineLevel="0" collapsed="false">
      <c r="A262" s="21" t="n">
        <v>46567</v>
      </c>
      <c r="B262" s="22" t="str">
        <f aca="false">TEXT(A262,"ddd")</f>
        <v>Tue</v>
      </c>
      <c r="C262" s="22" t="str">
        <f aca="false">INDEX(Releases!$A$2:$A$13,MATCH(A262,Releases!$B$2:$B$13,1))</f>
        <v>v3.1.0</v>
      </c>
      <c r="D262" s="23"/>
      <c r="E262" s="23"/>
      <c r="F262" s="23"/>
    </row>
    <row r="263" customFormat="false" ht="15" hidden="false" customHeight="false" outlineLevel="0" collapsed="false">
      <c r="A263" s="21" t="n">
        <v>46568</v>
      </c>
      <c r="B263" s="22" t="str">
        <f aca="false">TEXT(A263,"ddd")</f>
        <v>Wed</v>
      </c>
      <c r="C263" s="22" t="str">
        <f aca="false">INDEX(Releases!$A$2:$A$13,MATCH(A263,Releases!$B$2:$B$13,1))</f>
        <v>v3.1.0</v>
      </c>
      <c r="D263" s="23"/>
      <c r="E263" s="23"/>
      <c r="F263" s="23"/>
    </row>
    <row r="264" customFormat="false" ht="15" hidden="false" customHeight="false" outlineLevel="0" collapsed="false">
      <c r="A264" s="21" t="n">
        <v>46569</v>
      </c>
      <c r="B264" s="22" t="str">
        <f aca="false">TEXT(A264,"ddd")</f>
        <v>Thu</v>
      </c>
      <c r="C264" s="22" t="str">
        <f aca="false">INDEX(Releases!$A$2:$A$13,MATCH(A264,Releases!$B$2:$B$13,1))</f>
        <v>v3.1.0</v>
      </c>
      <c r="D264" s="23"/>
      <c r="E264" s="23"/>
      <c r="F264" s="23"/>
    </row>
    <row r="265" customFormat="false" ht="15" hidden="false" customHeight="false" outlineLevel="0" collapsed="false">
      <c r="A265" s="21" t="n">
        <v>46570</v>
      </c>
      <c r="B265" s="22" t="str">
        <f aca="false">TEXT(A265,"ddd")</f>
        <v>Fri</v>
      </c>
      <c r="C265" s="22" t="str">
        <f aca="false">INDEX(Releases!$A$2:$A$13,MATCH(A265,Releases!$B$2:$B$13,1))</f>
        <v>v3.1.0</v>
      </c>
      <c r="D265" s="23"/>
      <c r="E265" s="23"/>
      <c r="F265" s="23"/>
    </row>
    <row r="266" customFormat="false" ht="15" hidden="false" customHeight="false" outlineLevel="0" collapsed="false">
      <c r="A266" s="21" t="n">
        <v>46571</v>
      </c>
      <c r="B266" s="22" t="str">
        <f aca="false">TEXT(A266,"ddd")</f>
        <v>Sat</v>
      </c>
      <c r="C266" s="22" t="str">
        <f aca="false">INDEX(Releases!$A$2:$A$13,MATCH(A266,Releases!$B$2:$B$13,1))</f>
        <v>v3.1.0</v>
      </c>
      <c r="D266" s="23"/>
      <c r="E266" s="23"/>
      <c r="F266" s="23"/>
    </row>
    <row r="267" customFormat="false" ht="15" hidden="false" customHeight="false" outlineLevel="0" collapsed="false">
      <c r="A267" s="21" t="n">
        <v>46572</v>
      </c>
      <c r="B267" s="22" t="str">
        <f aca="false">TEXT(A267,"ddd")</f>
        <v>Sun</v>
      </c>
      <c r="C267" s="22" t="str">
        <f aca="false">INDEX(Releases!$A$2:$A$13,MATCH(A267,Releases!$B$2:$B$13,1))</f>
        <v>v3.1.0</v>
      </c>
      <c r="D267" s="23"/>
      <c r="E267" s="23"/>
      <c r="F267" s="23"/>
    </row>
    <row r="268" customFormat="false" ht="15" hidden="false" customHeight="false" outlineLevel="0" collapsed="false">
      <c r="A268" s="21" t="n">
        <v>46573</v>
      </c>
      <c r="B268" s="22" t="str">
        <f aca="false">TEXT(A268,"ddd")</f>
        <v>Mon</v>
      </c>
      <c r="C268" s="22" t="str">
        <f aca="false">INDEX(Releases!$A$2:$A$13,MATCH(A268,Releases!$B$2:$B$13,1))</f>
        <v>v3.1.0</v>
      </c>
      <c r="D268" s="23"/>
      <c r="E268" s="23"/>
      <c r="F268" s="23"/>
    </row>
    <row r="269" customFormat="false" ht="15" hidden="false" customHeight="false" outlineLevel="0" collapsed="false">
      <c r="A269" s="21" t="n">
        <v>46574</v>
      </c>
      <c r="B269" s="22" t="str">
        <f aca="false">TEXT(A269,"ddd")</f>
        <v>Tue</v>
      </c>
      <c r="C269" s="22" t="str">
        <f aca="false">INDEX(Releases!$A$2:$A$13,MATCH(A269,Releases!$B$2:$B$13,1))</f>
        <v>v3.1.0</v>
      </c>
      <c r="D269" s="23"/>
      <c r="E269" s="23"/>
      <c r="F269" s="23"/>
    </row>
    <row r="270" customFormat="false" ht="15" hidden="false" customHeight="false" outlineLevel="0" collapsed="false">
      <c r="A270" s="21" t="n">
        <v>46575</v>
      </c>
      <c r="B270" s="22" t="str">
        <f aca="false">TEXT(A270,"ddd")</f>
        <v>Wed</v>
      </c>
      <c r="C270" s="22" t="str">
        <f aca="false">INDEX(Releases!$A$2:$A$13,MATCH(A270,Releases!$B$2:$B$13,1))</f>
        <v>v3.1.0</v>
      </c>
      <c r="D270" s="23"/>
      <c r="E270" s="23"/>
      <c r="F270" s="23"/>
    </row>
    <row r="271" customFormat="false" ht="15" hidden="false" customHeight="false" outlineLevel="0" collapsed="false">
      <c r="A271" s="21" t="n">
        <v>46576</v>
      </c>
      <c r="B271" s="22" t="str">
        <f aca="false">TEXT(A271,"ddd")</f>
        <v>Thu</v>
      </c>
      <c r="C271" s="22" t="str">
        <f aca="false">INDEX(Releases!$A$2:$A$13,MATCH(A271,Releases!$B$2:$B$13,1))</f>
        <v>v3.1.0</v>
      </c>
      <c r="D271" s="23"/>
      <c r="E271" s="23"/>
      <c r="F271" s="23"/>
    </row>
    <row r="272" customFormat="false" ht="15" hidden="false" customHeight="false" outlineLevel="0" collapsed="false">
      <c r="A272" s="21" t="n">
        <v>46577</v>
      </c>
      <c r="B272" s="22" t="str">
        <f aca="false">TEXT(A272,"ddd")</f>
        <v>Fri</v>
      </c>
      <c r="C272" s="22" t="str">
        <f aca="false">INDEX(Releases!$A$2:$A$13,MATCH(A272,Releases!$B$2:$B$13,1))</f>
        <v>v3.1.0</v>
      </c>
      <c r="D272" s="23"/>
      <c r="E272" s="23"/>
      <c r="F272" s="23"/>
    </row>
    <row r="273" customFormat="false" ht="15" hidden="false" customHeight="false" outlineLevel="0" collapsed="false">
      <c r="A273" s="21" t="n">
        <v>46578</v>
      </c>
      <c r="B273" s="22" t="str">
        <f aca="false">TEXT(A273,"ddd")</f>
        <v>Sat</v>
      </c>
      <c r="C273" s="22" t="str">
        <f aca="false">INDEX(Releases!$A$2:$A$13,MATCH(A273,Releases!$B$2:$B$13,1))</f>
        <v>v3.1.0</v>
      </c>
      <c r="D273" s="23"/>
      <c r="E273" s="23"/>
      <c r="F273" s="23"/>
    </row>
    <row r="274" customFormat="false" ht="15" hidden="false" customHeight="false" outlineLevel="0" collapsed="false">
      <c r="A274" s="21" t="n">
        <v>46579</v>
      </c>
      <c r="B274" s="22" t="str">
        <f aca="false">TEXT(A274,"ddd")</f>
        <v>Sun</v>
      </c>
      <c r="C274" s="22" t="str">
        <f aca="false">INDEX(Releases!$A$2:$A$13,MATCH(A274,Releases!$B$2:$B$13,1))</f>
        <v>v3.1.0</v>
      </c>
      <c r="D274" s="23"/>
      <c r="E274" s="23"/>
      <c r="F274" s="23"/>
    </row>
    <row r="275" customFormat="false" ht="15" hidden="false" customHeight="false" outlineLevel="0" collapsed="false">
      <c r="A275" s="21" t="n">
        <v>46580</v>
      </c>
      <c r="B275" s="22" t="str">
        <f aca="false">TEXT(A275,"ddd")</f>
        <v>Mon</v>
      </c>
      <c r="C275" s="22" t="str">
        <f aca="false">INDEX(Releases!$A$2:$A$13,MATCH(A275,Releases!$B$2:$B$13,1))</f>
        <v>v3.1.0</v>
      </c>
      <c r="D275" s="23"/>
      <c r="E275" s="23"/>
      <c r="F275" s="23"/>
    </row>
    <row r="276" customFormat="false" ht="15" hidden="false" customHeight="false" outlineLevel="0" collapsed="false">
      <c r="A276" s="21" t="n">
        <v>46581</v>
      </c>
      <c r="B276" s="22" t="str">
        <f aca="false">TEXT(A276,"ddd")</f>
        <v>Tue</v>
      </c>
      <c r="C276" s="22" t="str">
        <f aca="false">INDEX(Releases!$A$2:$A$13,MATCH(A276,Releases!$B$2:$B$13,1))</f>
        <v>v3.1.0</v>
      </c>
      <c r="D276" s="23"/>
      <c r="E276" s="23"/>
      <c r="F276" s="23"/>
    </row>
    <row r="277" customFormat="false" ht="15" hidden="false" customHeight="false" outlineLevel="0" collapsed="false">
      <c r="A277" s="21" t="n">
        <v>46582</v>
      </c>
      <c r="B277" s="22" t="str">
        <f aca="false">TEXT(A277,"ddd")</f>
        <v>Wed</v>
      </c>
      <c r="C277" s="22" t="str">
        <f aca="false">INDEX(Releases!$A$2:$A$13,MATCH(A277,Releases!$B$2:$B$13,1))</f>
        <v>v3.1.0</v>
      </c>
      <c r="D277" s="23"/>
      <c r="E277" s="23"/>
      <c r="F277" s="23"/>
    </row>
    <row r="278" customFormat="false" ht="15" hidden="false" customHeight="false" outlineLevel="0" collapsed="false">
      <c r="A278" s="21" t="n">
        <v>46583</v>
      </c>
      <c r="B278" s="22" t="str">
        <f aca="false">TEXT(A278,"ddd")</f>
        <v>Thu</v>
      </c>
      <c r="C278" s="22" t="str">
        <f aca="false">INDEX(Releases!$A$2:$A$13,MATCH(A278,Releases!$B$2:$B$13,1))</f>
        <v>v3.1.0</v>
      </c>
      <c r="D278" s="23"/>
      <c r="E278" s="23"/>
      <c r="F278" s="23"/>
    </row>
    <row r="279" customFormat="false" ht="15" hidden="false" customHeight="false" outlineLevel="0" collapsed="false">
      <c r="A279" s="21" t="n">
        <v>46584</v>
      </c>
      <c r="B279" s="22" t="str">
        <f aca="false">TEXT(A279,"ddd")</f>
        <v>Fri</v>
      </c>
      <c r="C279" s="22" t="str">
        <f aca="false">INDEX(Releases!$A$2:$A$13,MATCH(A279,Releases!$B$2:$B$13,1))</f>
        <v>v4.0.0</v>
      </c>
      <c r="D279" s="23"/>
      <c r="E279" s="23"/>
      <c r="F279" s="23"/>
    </row>
    <row r="280" customFormat="false" ht="15" hidden="false" customHeight="false" outlineLevel="0" collapsed="false">
      <c r="A280" s="21" t="n">
        <v>46585</v>
      </c>
      <c r="B280" s="22" t="str">
        <f aca="false">TEXT(A280,"ddd")</f>
        <v>Sat</v>
      </c>
      <c r="C280" s="22" t="str">
        <f aca="false">INDEX(Releases!$A$2:$A$13,MATCH(A280,Releases!$B$2:$B$13,1))</f>
        <v>v4.0.0</v>
      </c>
      <c r="D280" s="23"/>
      <c r="E280" s="23"/>
      <c r="F280" s="23"/>
    </row>
    <row r="281" customFormat="false" ht="15" hidden="false" customHeight="false" outlineLevel="0" collapsed="false">
      <c r="A281" s="21" t="n">
        <v>46586</v>
      </c>
      <c r="B281" s="22" t="str">
        <f aca="false">TEXT(A281,"ddd")</f>
        <v>Sun</v>
      </c>
      <c r="C281" s="22" t="str">
        <f aca="false">INDEX(Releases!$A$2:$A$13,MATCH(A281,Releases!$B$2:$B$13,1))</f>
        <v>v4.0.0</v>
      </c>
      <c r="D281" s="23"/>
      <c r="E281" s="23"/>
      <c r="F281" s="23"/>
    </row>
    <row r="282" customFormat="false" ht="15" hidden="false" customHeight="false" outlineLevel="0" collapsed="false">
      <c r="A282" s="21" t="n">
        <v>46587</v>
      </c>
      <c r="B282" s="22" t="str">
        <f aca="false">TEXT(A282,"ddd")</f>
        <v>Mon</v>
      </c>
      <c r="C282" s="22" t="str">
        <f aca="false">INDEX(Releases!$A$2:$A$13,MATCH(A282,Releases!$B$2:$B$13,1))</f>
        <v>v4.0.0</v>
      </c>
      <c r="D282" s="23"/>
      <c r="E282" s="23"/>
      <c r="F282" s="23"/>
    </row>
    <row r="283" customFormat="false" ht="15" hidden="false" customHeight="false" outlineLevel="0" collapsed="false">
      <c r="A283" s="21" t="n">
        <v>46588</v>
      </c>
      <c r="B283" s="22" t="str">
        <f aca="false">TEXT(A283,"ddd")</f>
        <v>Tue</v>
      </c>
      <c r="C283" s="22" t="str">
        <f aca="false">INDEX(Releases!$A$2:$A$13,MATCH(A283,Releases!$B$2:$B$13,1))</f>
        <v>v4.0.0</v>
      </c>
      <c r="D283" s="23"/>
      <c r="E283" s="23"/>
      <c r="F283" s="23"/>
    </row>
    <row r="284" customFormat="false" ht="15" hidden="false" customHeight="false" outlineLevel="0" collapsed="false">
      <c r="A284" s="21" t="n">
        <v>46589</v>
      </c>
      <c r="B284" s="22" t="str">
        <f aca="false">TEXT(A284,"ddd")</f>
        <v>Wed</v>
      </c>
      <c r="C284" s="22" t="str">
        <f aca="false">INDEX(Releases!$A$2:$A$13,MATCH(A284,Releases!$B$2:$B$13,1))</f>
        <v>v4.0.0</v>
      </c>
      <c r="D284" s="23"/>
      <c r="E284" s="23"/>
      <c r="F284" s="23"/>
    </row>
    <row r="285" customFormat="false" ht="15" hidden="false" customHeight="false" outlineLevel="0" collapsed="false">
      <c r="A285" s="21" t="n">
        <v>46590</v>
      </c>
      <c r="B285" s="22" t="str">
        <f aca="false">TEXT(A285,"ddd")</f>
        <v>Thu</v>
      </c>
      <c r="C285" s="22" t="str">
        <f aca="false">INDEX(Releases!$A$2:$A$13,MATCH(A285,Releases!$B$2:$B$13,1))</f>
        <v>v4.0.0</v>
      </c>
      <c r="D285" s="23"/>
      <c r="E285" s="23"/>
      <c r="F285" s="23"/>
    </row>
    <row r="286" customFormat="false" ht="15" hidden="false" customHeight="false" outlineLevel="0" collapsed="false">
      <c r="A286" s="21" t="n">
        <v>46591</v>
      </c>
      <c r="B286" s="22" t="str">
        <f aca="false">TEXT(A286,"ddd")</f>
        <v>Fri</v>
      </c>
      <c r="C286" s="22" t="str">
        <f aca="false">INDEX(Releases!$A$2:$A$13,MATCH(A286,Releases!$B$2:$B$13,1))</f>
        <v>v4.0.0</v>
      </c>
      <c r="D286" s="23"/>
      <c r="E286" s="23"/>
      <c r="F286" s="23"/>
    </row>
    <row r="287" customFormat="false" ht="15" hidden="false" customHeight="false" outlineLevel="0" collapsed="false">
      <c r="A287" s="21" t="n">
        <v>46592</v>
      </c>
      <c r="B287" s="22" t="str">
        <f aca="false">TEXT(A287,"ddd")</f>
        <v>Sat</v>
      </c>
      <c r="C287" s="22" t="str">
        <f aca="false">INDEX(Releases!$A$2:$A$13,MATCH(A287,Releases!$B$2:$B$13,1))</f>
        <v>v4.0.0</v>
      </c>
      <c r="D287" s="23"/>
      <c r="E287" s="23"/>
      <c r="F287" s="23"/>
    </row>
    <row r="288" customFormat="false" ht="15" hidden="false" customHeight="false" outlineLevel="0" collapsed="false">
      <c r="A288" s="21" t="n">
        <v>46593</v>
      </c>
      <c r="B288" s="22" t="str">
        <f aca="false">TEXT(A288,"ddd")</f>
        <v>Sun</v>
      </c>
      <c r="C288" s="22" t="str">
        <f aca="false">INDEX(Releases!$A$2:$A$13,MATCH(A288,Releases!$B$2:$B$13,1))</f>
        <v>v4.0.0</v>
      </c>
      <c r="D288" s="23"/>
      <c r="E288" s="23"/>
      <c r="F288" s="23"/>
    </row>
    <row r="289" customFormat="false" ht="15" hidden="false" customHeight="false" outlineLevel="0" collapsed="false">
      <c r="A289" s="21" t="n">
        <v>46594</v>
      </c>
      <c r="B289" s="22" t="str">
        <f aca="false">TEXT(A289,"ddd")</f>
        <v>Mon</v>
      </c>
      <c r="C289" s="22" t="str">
        <f aca="false">INDEX(Releases!$A$2:$A$13,MATCH(A289,Releases!$B$2:$B$13,1))</f>
        <v>v4.0.0</v>
      </c>
      <c r="D289" s="23"/>
      <c r="E289" s="23"/>
      <c r="F289" s="23"/>
    </row>
    <row r="290" customFormat="false" ht="15" hidden="false" customHeight="false" outlineLevel="0" collapsed="false">
      <c r="A290" s="21" t="n">
        <v>46595</v>
      </c>
      <c r="B290" s="22" t="str">
        <f aca="false">TEXT(A290,"ddd")</f>
        <v>Tue</v>
      </c>
      <c r="C290" s="22" t="str">
        <f aca="false">INDEX(Releases!$A$2:$A$13,MATCH(A290,Releases!$B$2:$B$13,1))</f>
        <v>v4.0.0</v>
      </c>
      <c r="D290" s="23"/>
      <c r="E290" s="23"/>
      <c r="F290" s="23"/>
    </row>
    <row r="291" customFormat="false" ht="15" hidden="false" customHeight="false" outlineLevel="0" collapsed="false">
      <c r="A291" s="21" t="n">
        <v>46596</v>
      </c>
      <c r="B291" s="22" t="str">
        <f aca="false">TEXT(A291,"ddd")</f>
        <v>Wed</v>
      </c>
      <c r="C291" s="22" t="str">
        <f aca="false">INDEX(Releases!$A$2:$A$13,MATCH(A291,Releases!$B$2:$B$13,1))</f>
        <v>v4.0.0</v>
      </c>
      <c r="D291" s="23"/>
      <c r="E291" s="23"/>
      <c r="F291" s="23"/>
    </row>
    <row r="292" customFormat="false" ht="15" hidden="false" customHeight="false" outlineLevel="0" collapsed="false">
      <c r="A292" s="21" t="n">
        <v>46597</v>
      </c>
      <c r="B292" s="22" t="str">
        <f aca="false">TEXT(A292,"ddd")</f>
        <v>Thu</v>
      </c>
      <c r="C292" s="22" t="str">
        <f aca="false">INDEX(Releases!$A$2:$A$13,MATCH(A292,Releases!$B$2:$B$13,1))</f>
        <v>v4.0.0</v>
      </c>
      <c r="D292" s="23"/>
      <c r="E292" s="23"/>
      <c r="F292" s="23"/>
    </row>
    <row r="293" customFormat="false" ht="15" hidden="false" customHeight="false" outlineLevel="0" collapsed="false">
      <c r="A293" s="21" t="n">
        <v>46598</v>
      </c>
      <c r="B293" s="22" t="str">
        <f aca="false">TEXT(A293,"ddd")</f>
        <v>Fri</v>
      </c>
      <c r="C293" s="22" t="str">
        <f aca="false">INDEX(Releases!$A$2:$A$13,MATCH(A293,Releases!$B$2:$B$13,1))</f>
        <v>v4.0.0</v>
      </c>
      <c r="D293" s="23"/>
      <c r="E293" s="23"/>
      <c r="F293" s="23"/>
    </row>
    <row r="294" customFormat="false" ht="15" hidden="false" customHeight="false" outlineLevel="0" collapsed="false">
      <c r="A294" s="21" t="n">
        <v>46599</v>
      </c>
      <c r="B294" s="22" t="str">
        <f aca="false">TEXT(A294,"ddd")</f>
        <v>Sat</v>
      </c>
      <c r="C294" s="22" t="str">
        <f aca="false">INDEX(Releases!$A$2:$A$13,MATCH(A294,Releases!$B$2:$B$13,1))</f>
        <v>v4.0.0</v>
      </c>
      <c r="D294" s="23"/>
      <c r="E294" s="23"/>
      <c r="F294" s="23"/>
    </row>
    <row r="295" customFormat="false" ht="15" hidden="false" customHeight="false" outlineLevel="0" collapsed="false">
      <c r="A295" s="21" t="n">
        <v>46600</v>
      </c>
      <c r="B295" s="22" t="str">
        <f aca="false">TEXT(A295,"ddd")</f>
        <v>Sun</v>
      </c>
      <c r="C295" s="22" t="str">
        <f aca="false">INDEX(Releases!$A$2:$A$13,MATCH(A295,Releases!$B$2:$B$13,1))</f>
        <v>v4.0.0</v>
      </c>
      <c r="D295" s="23"/>
      <c r="E295" s="23"/>
      <c r="F295" s="23"/>
    </row>
    <row r="296" customFormat="false" ht="15" hidden="false" customHeight="false" outlineLevel="0" collapsed="false">
      <c r="A296" s="21" t="n">
        <v>46601</v>
      </c>
      <c r="B296" s="22" t="str">
        <f aca="false">TEXT(A296,"ddd")</f>
        <v>Mon</v>
      </c>
      <c r="C296" s="22" t="str">
        <f aca="false">INDEX(Releases!$A$2:$A$13,MATCH(A296,Releases!$B$2:$B$13,1))</f>
        <v>v4.0.0</v>
      </c>
      <c r="D296" s="23"/>
      <c r="E296" s="23"/>
      <c r="F296" s="23"/>
    </row>
    <row r="297" customFormat="false" ht="15" hidden="false" customHeight="false" outlineLevel="0" collapsed="false">
      <c r="A297" s="21" t="n">
        <v>46602</v>
      </c>
      <c r="B297" s="22" t="str">
        <f aca="false">TEXT(A297,"ddd")</f>
        <v>Tue</v>
      </c>
      <c r="C297" s="22" t="str">
        <f aca="false">INDEX(Releases!$A$2:$A$13,MATCH(A297,Releases!$B$2:$B$13,1))</f>
        <v>v4.0.0</v>
      </c>
      <c r="D297" s="23"/>
      <c r="E297" s="23"/>
      <c r="F297" s="23"/>
    </row>
    <row r="298" customFormat="false" ht="15" hidden="false" customHeight="false" outlineLevel="0" collapsed="false">
      <c r="A298" s="21" t="n">
        <v>46603</v>
      </c>
      <c r="B298" s="22" t="str">
        <f aca="false">TEXT(A298,"ddd")</f>
        <v>Wed</v>
      </c>
      <c r="C298" s="22" t="str">
        <f aca="false">INDEX(Releases!$A$2:$A$13,MATCH(A298,Releases!$B$2:$B$13,1))</f>
        <v>v4.0.0</v>
      </c>
      <c r="D298" s="23"/>
      <c r="E298" s="23"/>
      <c r="F298" s="23"/>
    </row>
    <row r="299" customFormat="false" ht="15" hidden="false" customHeight="false" outlineLevel="0" collapsed="false">
      <c r="A299" s="21" t="n">
        <v>46604</v>
      </c>
      <c r="B299" s="22" t="str">
        <f aca="false">TEXT(A299,"ddd")</f>
        <v>Thu</v>
      </c>
      <c r="C299" s="22" t="str">
        <f aca="false">INDEX(Releases!$A$2:$A$13,MATCH(A299,Releases!$B$2:$B$13,1))</f>
        <v>v4.0.0</v>
      </c>
      <c r="D299" s="23"/>
      <c r="E299" s="23"/>
      <c r="F299" s="23"/>
    </row>
    <row r="300" customFormat="false" ht="15" hidden="false" customHeight="false" outlineLevel="0" collapsed="false">
      <c r="A300" s="21" t="n">
        <v>46605</v>
      </c>
      <c r="B300" s="22" t="str">
        <f aca="false">TEXT(A300,"ddd")</f>
        <v>Fri</v>
      </c>
      <c r="C300" s="22" t="str">
        <f aca="false">INDEX(Releases!$A$2:$A$13,MATCH(A300,Releases!$B$2:$B$13,1))</f>
        <v>v4.0.0</v>
      </c>
      <c r="D300" s="23"/>
      <c r="E300" s="23"/>
      <c r="F300" s="23"/>
    </row>
    <row r="301" customFormat="false" ht="15" hidden="false" customHeight="false" outlineLevel="0" collapsed="false">
      <c r="A301" s="21" t="n">
        <v>46606</v>
      </c>
      <c r="B301" s="22" t="str">
        <f aca="false">TEXT(A301,"ddd")</f>
        <v>Sat</v>
      </c>
      <c r="C301" s="22" t="str">
        <f aca="false">INDEX(Releases!$A$2:$A$13,MATCH(A301,Releases!$B$2:$B$13,1))</f>
        <v>v4.0.0</v>
      </c>
      <c r="D301" s="23"/>
      <c r="E301" s="23"/>
      <c r="F301" s="23"/>
    </row>
    <row r="302" customFormat="false" ht="15" hidden="false" customHeight="false" outlineLevel="0" collapsed="false">
      <c r="A302" s="21" t="n">
        <v>46607</v>
      </c>
      <c r="B302" s="22" t="str">
        <f aca="false">TEXT(A302,"ddd")</f>
        <v>Sun</v>
      </c>
      <c r="C302" s="22" t="str">
        <f aca="false">INDEX(Releases!$A$2:$A$13,MATCH(A302,Releases!$B$2:$B$13,1))</f>
        <v>v4.0.0</v>
      </c>
      <c r="D302" s="23"/>
      <c r="E302" s="23"/>
      <c r="F302" s="23"/>
    </row>
    <row r="303" customFormat="false" ht="15" hidden="false" customHeight="false" outlineLevel="0" collapsed="false">
      <c r="A303" s="21" t="n">
        <v>46608</v>
      </c>
      <c r="B303" s="22" t="str">
        <f aca="false">TEXT(A303,"ddd")</f>
        <v>Mon</v>
      </c>
      <c r="C303" s="22" t="str">
        <f aca="false">INDEX(Releases!$A$2:$A$13,MATCH(A303,Releases!$B$2:$B$13,1))</f>
        <v>v4.0.0</v>
      </c>
      <c r="D303" s="23"/>
      <c r="E303" s="23"/>
      <c r="F303" s="23"/>
    </row>
    <row r="304" customFormat="false" ht="15" hidden="false" customHeight="false" outlineLevel="0" collapsed="false">
      <c r="A304" s="21" t="n">
        <v>46609</v>
      </c>
      <c r="B304" s="22" t="str">
        <f aca="false">TEXT(A304,"ddd")</f>
        <v>Tue</v>
      </c>
      <c r="C304" s="22" t="str">
        <f aca="false">INDEX(Releases!$A$2:$A$13,MATCH(A304,Releases!$B$2:$B$13,1))</f>
        <v>v4.0.0</v>
      </c>
      <c r="D304" s="23"/>
      <c r="E304" s="23"/>
      <c r="F304" s="23"/>
    </row>
    <row r="305" customFormat="false" ht="15" hidden="false" customHeight="false" outlineLevel="0" collapsed="false">
      <c r="A305" s="21" t="n">
        <v>46610</v>
      </c>
      <c r="B305" s="22" t="str">
        <f aca="false">TEXT(A305,"ddd")</f>
        <v>Wed</v>
      </c>
      <c r="C305" s="22" t="str">
        <f aca="false">INDEX(Releases!$A$2:$A$13,MATCH(A305,Releases!$B$2:$B$13,1))</f>
        <v>v4.0.0</v>
      </c>
      <c r="D305" s="23"/>
      <c r="E305" s="23"/>
      <c r="F305" s="23"/>
    </row>
    <row r="306" customFormat="false" ht="15" hidden="false" customHeight="false" outlineLevel="0" collapsed="false">
      <c r="A306" s="21" t="n">
        <v>46611</v>
      </c>
      <c r="B306" s="22" t="str">
        <f aca="false">TEXT(A306,"ddd")</f>
        <v>Thu</v>
      </c>
      <c r="C306" s="22" t="str">
        <f aca="false">INDEX(Releases!$A$2:$A$13,MATCH(A306,Releases!$B$2:$B$13,1))</f>
        <v>v4.0.0</v>
      </c>
      <c r="D306" s="23"/>
      <c r="E306" s="23"/>
      <c r="F306" s="23"/>
    </row>
    <row r="307" customFormat="false" ht="15" hidden="false" customHeight="false" outlineLevel="0" collapsed="false">
      <c r="A307" s="21" t="n">
        <v>46612</v>
      </c>
      <c r="B307" s="22" t="str">
        <f aca="false">TEXT(A307,"ddd")</f>
        <v>Fri</v>
      </c>
      <c r="C307" s="22" t="str">
        <f aca="false">INDEX(Releases!$A$2:$A$13,MATCH(A307,Releases!$B$2:$B$13,1))</f>
        <v>v4.0.0</v>
      </c>
      <c r="D307" s="23"/>
      <c r="E307" s="23"/>
      <c r="F307" s="23"/>
    </row>
    <row r="308" customFormat="false" ht="15" hidden="false" customHeight="false" outlineLevel="0" collapsed="false">
      <c r="A308" s="21" t="n">
        <v>46613</v>
      </c>
      <c r="B308" s="22" t="str">
        <f aca="false">TEXT(A308,"ddd")</f>
        <v>Sat</v>
      </c>
      <c r="C308" s="22" t="str">
        <f aca="false">INDEX(Releases!$A$2:$A$13,MATCH(A308,Releases!$B$2:$B$13,1))</f>
        <v>v4.0.0</v>
      </c>
      <c r="D308" s="23"/>
      <c r="E308" s="23"/>
      <c r="F308" s="23"/>
    </row>
    <row r="309" customFormat="false" ht="15" hidden="false" customHeight="false" outlineLevel="0" collapsed="false">
      <c r="A309" s="21" t="n">
        <v>46614</v>
      </c>
      <c r="B309" s="22" t="str">
        <f aca="false">TEXT(A309,"ddd")</f>
        <v>Sun</v>
      </c>
      <c r="C309" s="22" t="str">
        <f aca="false">INDEX(Releases!$A$2:$A$13,MATCH(A309,Releases!$B$2:$B$13,1))</f>
        <v>v4.0.0</v>
      </c>
      <c r="D309" s="23"/>
      <c r="E309" s="23"/>
      <c r="F309" s="23"/>
    </row>
    <row r="310" customFormat="false" ht="15" hidden="false" customHeight="false" outlineLevel="0" collapsed="false">
      <c r="A310" s="21" t="n">
        <v>46615</v>
      </c>
      <c r="B310" s="22" t="str">
        <f aca="false">TEXT(A310,"ddd")</f>
        <v>Mon</v>
      </c>
      <c r="C310" s="22" t="str">
        <f aca="false">INDEX(Releases!$A$2:$A$13,MATCH(A310,Releases!$B$2:$B$13,1))</f>
        <v>v4.1.0</v>
      </c>
      <c r="D310" s="23"/>
      <c r="E310" s="23"/>
      <c r="F310" s="23"/>
    </row>
    <row r="311" customFormat="false" ht="15" hidden="false" customHeight="false" outlineLevel="0" collapsed="false">
      <c r="A311" s="21" t="n">
        <v>46616</v>
      </c>
      <c r="B311" s="22" t="str">
        <f aca="false">TEXT(A311,"ddd")</f>
        <v>Tue</v>
      </c>
      <c r="C311" s="22" t="str">
        <f aca="false">INDEX(Releases!$A$2:$A$13,MATCH(A311,Releases!$B$2:$B$13,1))</f>
        <v>v4.1.0</v>
      </c>
      <c r="D311" s="23"/>
      <c r="E311" s="23"/>
      <c r="F311" s="23"/>
    </row>
    <row r="312" customFormat="false" ht="15" hidden="false" customHeight="false" outlineLevel="0" collapsed="false">
      <c r="A312" s="21" t="n">
        <v>46617</v>
      </c>
      <c r="B312" s="22" t="str">
        <f aca="false">TEXT(A312,"ddd")</f>
        <v>Wed</v>
      </c>
      <c r="C312" s="22" t="str">
        <f aca="false">INDEX(Releases!$A$2:$A$13,MATCH(A312,Releases!$B$2:$B$13,1))</f>
        <v>v4.1.0</v>
      </c>
      <c r="D312" s="23"/>
      <c r="E312" s="23"/>
      <c r="F312" s="23"/>
    </row>
    <row r="313" customFormat="false" ht="15" hidden="false" customHeight="false" outlineLevel="0" collapsed="false">
      <c r="A313" s="21" t="n">
        <v>46618</v>
      </c>
      <c r="B313" s="22" t="str">
        <f aca="false">TEXT(A313,"ddd")</f>
        <v>Thu</v>
      </c>
      <c r="C313" s="22" t="str">
        <f aca="false">INDEX(Releases!$A$2:$A$13,MATCH(A313,Releases!$B$2:$B$13,1))</f>
        <v>v4.1.0</v>
      </c>
      <c r="D313" s="23"/>
      <c r="E313" s="23"/>
      <c r="F313" s="23"/>
    </row>
    <row r="314" customFormat="false" ht="15" hidden="false" customHeight="false" outlineLevel="0" collapsed="false">
      <c r="A314" s="21" t="n">
        <v>46619</v>
      </c>
      <c r="B314" s="22" t="str">
        <f aca="false">TEXT(A314,"ddd")</f>
        <v>Fri</v>
      </c>
      <c r="C314" s="22" t="str">
        <f aca="false">INDEX(Releases!$A$2:$A$13,MATCH(A314,Releases!$B$2:$B$13,1))</f>
        <v>v4.1.0</v>
      </c>
      <c r="D314" s="23"/>
      <c r="E314" s="23"/>
      <c r="F314" s="23"/>
    </row>
    <row r="315" customFormat="false" ht="15" hidden="false" customHeight="false" outlineLevel="0" collapsed="false">
      <c r="A315" s="21" t="n">
        <v>46620</v>
      </c>
      <c r="B315" s="22" t="str">
        <f aca="false">TEXT(A315,"ddd")</f>
        <v>Sat</v>
      </c>
      <c r="C315" s="22" t="str">
        <f aca="false">INDEX(Releases!$A$2:$A$13,MATCH(A315,Releases!$B$2:$B$13,1))</f>
        <v>v4.1.0</v>
      </c>
      <c r="D315" s="23"/>
      <c r="E315" s="23"/>
      <c r="F315" s="23"/>
    </row>
    <row r="316" customFormat="false" ht="15" hidden="false" customHeight="false" outlineLevel="0" collapsed="false">
      <c r="A316" s="21" t="n">
        <v>46621</v>
      </c>
      <c r="B316" s="22" t="str">
        <f aca="false">TEXT(A316,"ddd")</f>
        <v>Sun</v>
      </c>
      <c r="C316" s="22" t="str">
        <f aca="false">INDEX(Releases!$A$2:$A$13,MATCH(A316,Releases!$B$2:$B$13,1))</f>
        <v>v4.1.0</v>
      </c>
      <c r="D316" s="23"/>
      <c r="E316" s="23"/>
      <c r="F316" s="23"/>
    </row>
    <row r="317" customFormat="false" ht="15" hidden="false" customHeight="false" outlineLevel="0" collapsed="false">
      <c r="A317" s="21" t="n">
        <v>46622</v>
      </c>
      <c r="B317" s="22" t="str">
        <f aca="false">TEXT(A317,"ddd")</f>
        <v>Mon</v>
      </c>
      <c r="C317" s="22" t="str">
        <f aca="false">INDEX(Releases!$A$2:$A$13,MATCH(A317,Releases!$B$2:$B$13,1))</f>
        <v>v4.1.0</v>
      </c>
      <c r="D317" s="23"/>
      <c r="E317" s="23"/>
      <c r="F317" s="23"/>
    </row>
    <row r="318" customFormat="false" ht="15" hidden="false" customHeight="false" outlineLevel="0" collapsed="false">
      <c r="A318" s="21" t="n">
        <v>46623</v>
      </c>
      <c r="B318" s="22" t="str">
        <f aca="false">TEXT(A318,"ddd")</f>
        <v>Tue</v>
      </c>
      <c r="C318" s="22" t="str">
        <f aca="false">INDEX(Releases!$A$2:$A$13,MATCH(A318,Releases!$B$2:$B$13,1))</f>
        <v>v4.1.0</v>
      </c>
      <c r="D318" s="23"/>
      <c r="E318" s="23"/>
      <c r="F318" s="23"/>
    </row>
    <row r="319" customFormat="false" ht="15" hidden="false" customHeight="false" outlineLevel="0" collapsed="false">
      <c r="A319" s="21" t="n">
        <v>46624</v>
      </c>
      <c r="B319" s="22" t="str">
        <f aca="false">TEXT(A319,"ddd")</f>
        <v>Wed</v>
      </c>
      <c r="C319" s="22" t="str">
        <f aca="false">INDEX(Releases!$A$2:$A$13,MATCH(A319,Releases!$B$2:$B$13,1))</f>
        <v>v4.1.0</v>
      </c>
      <c r="D319" s="23"/>
      <c r="E319" s="23"/>
      <c r="F319" s="23"/>
    </row>
    <row r="320" customFormat="false" ht="15" hidden="false" customHeight="false" outlineLevel="0" collapsed="false">
      <c r="A320" s="21" t="n">
        <v>46625</v>
      </c>
      <c r="B320" s="22" t="str">
        <f aca="false">TEXT(A320,"ddd")</f>
        <v>Thu</v>
      </c>
      <c r="C320" s="22" t="str">
        <f aca="false">INDEX(Releases!$A$2:$A$13,MATCH(A320,Releases!$B$2:$B$13,1))</f>
        <v>v4.1.0</v>
      </c>
      <c r="D320" s="23"/>
      <c r="E320" s="23"/>
      <c r="F320" s="23"/>
    </row>
    <row r="321" customFormat="false" ht="15" hidden="false" customHeight="false" outlineLevel="0" collapsed="false">
      <c r="A321" s="21" t="n">
        <v>46626</v>
      </c>
      <c r="B321" s="22" t="str">
        <f aca="false">TEXT(A321,"ddd")</f>
        <v>Fri</v>
      </c>
      <c r="C321" s="22" t="str">
        <f aca="false">INDEX(Releases!$A$2:$A$13,MATCH(A321,Releases!$B$2:$B$13,1))</f>
        <v>v4.1.0</v>
      </c>
      <c r="D321" s="23"/>
      <c r="E321" s="23"/>
      <c r="F321" s="23"/>
    </row>
    <row r="322" customFormat="false" ht="15" hidden="false" customHeight="false" outlineLevel="0" collapsed="false">
      <c r="A322" s="21" t="n">
        <v>46627</v>
      </c>
      <c r="B322" s="22" t="str">
        <f aca="false">TEXT(A322,"ddd")</f>
        <v>Sat</v>
      </c>
      <c r="C322" s="22" t="str">
        <f aca="false">INDEX(Releases!$A$2:$A$13,MATCH(A322,Releases!$B$2:$B$13,1))</f>
        <v>v4.1.0</v>
      </c>
      <c r="D322" s="23"/>
      <c r="E322" s="23"/>
      <c r="F322" s="23"/>
    </row>
    <row r="323" customFormat="false" ht="15" hidden="false" customHeight="false" outlineLevel="0" collapsed="false">
      <c r="A323" s="21" t="n">
        <v>46628</v>
      </c>
      <c r="B323" s="22" t="str">
        <f aca="false">TEXT(A323,"ddd")</f>
        <v>Sun</v>
      </c>
      <c r="C323" s="22" t="str">
        <f aca="false">INDEX(Releases!$A$2:$A$13,MATCH(A323,Releases!$B$2:$B$13,1))</f>
        <v>v4.1.0</v>
      </c>
      <c r="D323" s="23"/>
      <c r="E323" s="23"/>
      <c r="F323" s="23"/>
    </row>
    <row r="324" customFormat="false" ht="15" hidden="false" customHeight="false" outlineLevel="0" collapsed="false">
      <c r="A324" s="21" t="n">
        <v>46629</v>
      </c>
      <c r="B324" s="22" t="str">
        <f aca="false">TEXT(A324,"ddd")</f>
        <v>Mon</v>
      </c>
      <c r="C324" s="22" t="str">
        <f aca="false">INDEX(Releases!$A$2:$A$13,MATCH(A324,Releases!$B$2:$B$13,1))</f>
        <v>v4.1.0</v>
      </c>
      <c r="D324" s="23"/>
      <c r="E324" s="23"/>
      <c r="F324" s="23"/>
    </row>
    <row r="325" customFormat="false" ht="15" hidden="false" customHeight="false" outlineLevel="0" collapsed="false">
      <c r="A325" s="21" t="n">
        <v>46630</v>
      </c>
      <c r="B325" s="22" t="str">
        <f aca="false">TEXT(A325,"ddd")</f>
        <v>Tue</v>
      </c>
      <c r="C325" s="22" t="str">
        <f aca="false">INDEX(Releases!$A$2:$A$13,MATCH(A325,Releases!$B$2:$B$13,1))</f>
        <v>v4.1.0</v>
      </c>
      <c r="D325" s="23"/>
      <c r="E325" s="23"/>
      <c r="F325" s="23"/>
    </row>
    <row r="326" customFormat="false" ht="15" hidden="false" customHeight="false" outlineLevel="0" collapsed="false">
      <c r="A326" s="21" t="n">
        <v>46631</v>
      </c>
      <c r="B326" s="22" t="str">
        <f aca="false">TEXT(A326,"ddd")</f>
        <v>Wed</v>
      </c>
      <c r="C326" s="22" t="str">
        <f aca="false">INDEX(Releases!$A$2:$A$13,MATCH(A326,Releases!$B$2:$B$13,1))</f>
        <v>v4.1.0</v>
      </c>
      <c r="D326" s="23"/>
      <c r="E326" s="23"/>
      <c r="F326" s="23"/>
    </row>
    <row r="327" customFormat="false" ht="15" hidden="false" customHeight="false" outlineLevel="0" collapsed="false">
      <c r="A327" s="21" t="n">
        <v>46632</v>
      </c>
      <c r="B327" s="22" t="str">
        <f aca="false">TEXT(A327,"ddd")</f>
        <v>Thu</v>
      </c>
      <c r="C327" s="22" t="str">
        <f aca="false">INDEX(Releases!$A$2:$A$13,MATCH(A327,Releases!$B$2:$B$13,1))</f>
        <v>v4.1.0</v>
      </c>
      <c r="D327" s="23"/>
      <c r="E327" s="23"/>
      <c r="F327" s="23"/>
    </row>
    <row r="328" customFormat="false" ht="15" hidden="false" customHeight="false" outlineLevel="0" collapsed="false">
      <c r="A328" s="21" t="n">
        <v>46633</v>
      </c>
      <c r="B328" s="22" t="str">
        <f aca="false">TEXT(A328,"ddd")</f>
        <v>Fri</v>
      </c>
      <c r="C328" s="22" t="str">
        <f aca="false">INDEX(Releases!$A$2:$A$13,MATCH(A328,Releases!$B$2:$B$13,1))</f>
        <v>v4.1.0</v>
      </c>
      <c r="D328" s="23"/>
      <c r="E328" s="23"/>
      <c r="F328" s="23"/>
    </row>
    <row r="329" customFormat="false" ht="15" hidden="false" customHeight="false" outlineLevel="0" collapsed="false">
      <c r="A329" s="21" t="n">
        <v>46634</v>
      </c>
      <c r="B329" s="22" t="str">
        <f aca="false">TEXT(A329,"ddd")</f>
        <v>Sat</v>
      </c>
      <c r="C329" s="22" t="str">
        <f aca="false">INDEX(Releases!$A$2:$A$13,MATCH(A329,Releases!$B$2:$B$13,1))</f>
        <v>v4.1.0</v>
      </c>
      <c r="D329" s="23"/>
      <c r="E329" s="23"/>
      <c r="F329" s="23"/>
    </row>
    <row r="330" customFormat="false" ht="15" hidden="false" customHeight="false" outlineLevel="0" collapsed="false">
      <c r="A330" s="21" t="n">
        <v>46635</v>
      </c>
      <c r="B330" s="22" t="str">
        <f aca="false">TEXT(A330,"ddd")</f>
        <v>Sun</v>
      </c>
      <c r="C330" s="22" t="str">
        <f aca="false">INDEX(Releases!$A$2:$A$13,MATCH(A330,Releases!$B$2:$B$13,1))</f>
        <v>v4.1.0</v>
      </c>
      <c r="D330" s="23"/>
      <c r="E330" s="23"/>
      <c r="F330" s="23"/>
    </row>
    <row r="331" customFormat="false" ht="15" hidden="false" customHeight="false" outlineLevel="0" collapsed="false">
      <c r="A331" s="21" t="n">
        <v>46636</v>
      </c>
      <c r="B331" s="22" t="str">
        <f aca="false">TEXT(A331,"ddd")</f>
        <v>Mon</v>
      </c>
      <c r="C331" s="22" t="str">
        <f aca="false">INDEX(Releases!$A$2:$A$13,MATCH(A331,Releases!$B$2:$B$13,1))</f>
        <v>v4.1.0</v>
      </c>
      <c r="D331" s="23"/>
      <c r="E331" s="23"/>
      <c r="F331" s="23"/>
    </row>
    <row r="332" customFormat="false" ht="15" hidden="false" customHeight="false" outlineLevel="0" collapsed="false">
      <c r="A332" s="21" t="n">
        <v>46637</v>
      </c>
      <c r="B332" s="22" t="str">
        <f aca="false">TEXT(A332,"ddd")</f>
        <v>Tue</v>
      </c>
      <c r="C332" s="22" t="str">
        <f aca="false">INDEX(Releases!$A$2:$A$13,MATCH(A332,Releases!$B$2:$B$13,1))</f>
        <v>v4.1.0</v>
      </c>
      <c r="D332" s="23"/>
      <c r="E332" s="23"/>
      <c r="F332" s="23"/>
    </row>
    <row r="333" customFormat="false" ht="15" hidden="false" customHeight="false" outlineLevel="0" collapsed="false">
      <c r="A333" s="21" t="n">
        <v>46638</v>
      </c>
      <c r="B333" s="22" t="str">
        <f aca="false">TEXT(A333,"ddd")</f>
        <v>Wed</v>
      </c>
      <c r="C333" s="22" t="str">
        <f aca="false">INDEX(Releases!$A$2:$A$13,MATCH(A333,Releases!$B$2:$B$13,1))</f>
        <v>v4.1.0</v>
      </c>
      <c r="D333" s="23"/>
      <c r="E333" s="23"/>
      <c r="F333" s="23"/>
    </row>
    <row r="334" customFormat="false" ht="15" hidden="false" customHeight="false" outlineLevel="0" collapsed="false">
      <c r="A334" s="21" t="n">
        <v>46639</v>
      </c>
      <c r="B334" s="22" t="str">
        <f aca="false">TEXT(A334,"ddd")</f>
        <v>Thu</v>
      </c>
      <c r="C334" s="22" t="str">
        <f aca="false">INDEX(Releases!$A$2:$A$13,MATCH(A334,Releases!$B$2:$B$13,1))</f>
        <v>v4.1.0</v>
      </c>
      <c r="D334" s="23"/>
      <c r="E334" s="23"/>
      <c r="F334" s="23"/>
    </row>
    <row r="335" customFormat="false" ht="15" hidden="false" customHeight="false" outlineLevel="0" collapsed="false">
      <c r="A335" s="21" t="n">
        <v>46640</v>
      </c>
      <c r="B335" s="22" t="str">
        <f aca="false">TEXT(A335,"ddd")</f>
        <v>Fri</v>
      </c>
      <c r="C335" s="22" t="str">
        <f aca="false">INDEX(Releases!$A$2:$A$13,MATCH(A335,Releases!$B$2:$B$13,1))</f>
        <v>v4.1.0</v>
      </c>
      <c r="D335" s="23"/>
      <c r="E335" s="23"/>
      <c r="F335" s="23"/>
    </row>
    <row r="336" customFormat="false" ht="15" hidden="false" customHeight="false" outlineLevel="0" collapsed="false">
      <c r="A336" s="21" t="n">
        <v>46641</v>
      </c>
      <c r="B336" s="22" t="str">
        <f aca="false">TEXT(A336,"ddd")</f>
        <v>Sat</v>
      </c>
      <c r="C336" s="22" t="str">
        <f aca="false">INDEX(Releases!$A$2:$A$13,MATCH(A336,Releases!$B$2:$B$13,1))</f>
        <v>v4.1.0</v>
      </c>
      <c r="D336" s="23"/>
      <c r="E336" s="23"/>
      <c r="F336" s="23"/>
    </row>
    <row r="337" customFormat="false" ht="15" hidden="false" customHeight="false" outlineLevel="0" collapsed="false">
      <c r="A337" s="21" t="n">
        <v>46642</v>
      </c>
      <c r="B337" s="22" t="str">
        <f aca="false">TEXT(A337,"ddd")</f>
        <v>Sun</v>
      </c>
      <c r="C337" s="22" t="str">
        <f aca="false">INDEX(Releases!$A$2:$A$13,MATCH(A337,Releases!$B$2:$B$13,1))</f>
        <v>v4.1.0</v>
      </c>
      <c r="D337" s="23"/>
      <c r="E337" s="23"/>
      <c r="F337" s="23"/>
    </row>
    <row r="338" customFormat="false" ht="15" hidden="false" customHeight="false" outlineLevel="0" collapsed="false">
      <c r="A338" s="21" t="n">
        <v>46643</v>
      </c>
      <c r="B338" s="22" t="str">
        <f aca="false">TEXT(A338,"ddd")</f>
        <v>Mon</v>
      </c>
      <c r="C338" s="22" t="str">
        <f aca="false">INDEX(Releases!$A$2:$A$13,MATCH(A338,Releases!$B$2:$B$13,1))</f>
        <v>v4.1.0</v>
      </c>
      <c r="D338" s="23"/>
      <c r="E338" s="23"/>
      <c r="F338" s="23"/>
    </row>
    <row r="339" customFormat="false" ht="15" hidden="false" customHeight="false" outlineLevel="0" collapsed="false">
      <c r="A339" s="21" t="n">
        <v>46644</v>
      </c>
      <c r="B339" s="22" t="str">
        <f aca="false">TEXT(A339,"ddd")</f>
        <v>Tue</v>
      </c>
      <c r="C339" s="22" t="str">
        <f aca="false">INDEX(Releases!$A$2:$A$13,MATCH(A339,Releases!$B$2:$B$13,1))</f>
        <v>v4.1.0</v>
      </c>
      <c r="D339" s="23"/>
      <c r="E339" s="23"/>
      <c r="F339" s="23"/>
    </row>
    <row r="340" customFormat="false" ht="15" hidden="false" customHeight="false" outlineLevel="0" collapsed="false">
      <c r="A340" s="21" t="n">
        <v>46645</v>
      </c>
      <c r="B340" s="22" t="str">
        <f aca="false">TEXT(A340,"ddd")</f>
        <v>Wed</v>
      </c>
      <c r="C340" s="22" t="str">
        <f aca="false">INDEX(Releases!$A$2:$A$13,MATCH(A340,Releases!$B$2:$B$13,1))</f>
        <v>v4.1.0</v>
      </c>
      <c r="D340" s="23"/>
      <c r="E340" s="23"/>
      <c r="F340" s="23"/>
    </row>
    <row r="341" customFormat="false" ht="15" hidden="false" customHeight="false" outlineLevel="0" collapsed="false">
      <c r="A341" s="21" t="n">
        <v>46646</v>
      </c>
      <c r="B341" s="22" t="str">
        <f aca="false">TEXT(A341,"ddd")</f>
        <v>Thu</v>
      </c>
      <c r="C341" s="22" t="str">
        <f aca="false">INDEX(Releases!$A$2:$A$13,MATCH(A341,Releases!$B$2:$B$13,1))</f>
        <v>v5.0.0</v>
      </c>
      <c r="D341" s="23"/>
      <c r="E341" s="23"/>
      <c r="F341" s="23"/>
    </row>
    <row r="342" customFormat="false" ht="15" hidden="false" customHeight="false" outlineLevel="0" collapsed="false">
      <c r="A342" s="21" t="n">
        <v>46647</v>
      </c>
      <c r="B342" s="22" t="str">
        <f aca="false">TEXT(A342,"ddd")</f>
        <v>Fri</v>
      </c>
      <c r="C342" s="22" t="str">
        <f aca="false">INDEX(Releases!$A$2:$A$13,MATCH(A342,Releases!$B$2:$B$13,1))</f>
        <v>v5.0.0</v>
      </c>
      <c r="D342" s="23"/>
      <c r="E342" s="23"/>
      <c r="F342" s="23"/>
    </row>
    <row r="343" customFormat="false" ht="15" hidden="false" customHeight="false" outlineLevel="0" collapsed="false">
      <c r="A343" s="21" t="n">
        <v>46648</v>
      </c>
      <c r="B343" s="22" t="str">
        <f aca="false">TEXT(A343,"ddd")</f>
        <v>Sat</v>
      </c>
      <c r="C343" s="22" t="str">
        <f aca="false">INDEX(Releases!$A$2:$A$13,MATCH(A343,Releases!$B$2:$B$13,1))</f>
        <v>v5.0.0</v>
      </c>
      <c r="D343" s="23"/>
      <c r="E343" s="23"/>
      <c r="F343" s="23"/>
    </row>
    <row r="344" customFormat="false" ht="15" hidden="false" customHeight="false" outlineLevel="0" collapsed="false">
      <c r="A344" s="21" t="n">
        <v>46649</v>
      </c>
      <c r="B344" s="22" t="str">
        <f aca="false">TEXT(A344,"ddd")</f>
        <v>Sun</v>
      </c>
      <c r="C344" s="22" t="str">
        <f aca="false">INDEX(Releases!$A$2:$A$13,MATCH(A344,Releases!$B$2:$B$13,1))</f>
        <v>v5.0.0</v>
      </c>
      <c r="D344" s="23"/>
      <c r="E344" s="23"/>
      <c r="F344" s="23"/>
    </row>
    <row r="345" customFormat="false" ht="15" hidden="false" customHeight="false" outlineLevel="0" collapsed="false">
      <c r="A345" s="21" t="n">
        <v>46650</v>
      </c>
      <c r="B345" s="22" t="str">
        <f aca="false">TEXT(A345,"ddd")</f>
        <v>Mon</v>
      </c>
      <c r="C345" s="22" t="str">
        <f aca="false">INDEX(Releases!$A$2:$A$13,MATCH(A345,Releases!$B$2:$B$13,1))</f>
        <v>v5.0.0</v>
      </c>
      <c r="D345" s="23"/>
      <c r="E345" s="23"/>
      <c r="F345" s="23"/>
    </row>
    <row r="346" customFormat="false" ht="15" hidden="false" customHeight="false" outlineLevel="0" collapsed="false">
      <c r="A346" s="21" t="n">
        <v>46651</v>
      </c>
      <c r="B346" s="22" t="str">
        <f aca="false">TEXT(A346,"ddd")</f>
        <v>Tue</v>
      </c>
      <c r="C346" s="22" t="str">
        <f aca="false">INDEX(Releases!$A$2:$A$13,MATCH(A346,Releases!$B$2:$B$13,1))</f>
        <v>v5.0.0</v>
      </c>
      <c r="D346" s="23"/>
      <c r="E346" s="23"/>
      <c r="F346" s="23"/>
    </row>
    <row r="347" customFormat="false" ht="15" hidden="false" customHeight="false" outlineLevel="0" collapsed="false">
      <c r="A347" s="21" t="n">
        <v>46652</v>
      </c>
      <c r="B347" s="22" t="str">
        <f aca="false">TEXT(A347,"ddd")</f>
        <v>Wed</v>
      </c>
      <c r="C347" s="22" t="str">
        <f aca="false">INDEX(Releases!$A$2:$A$13,MATCH(A347,Releases!$B$2:$B$13,1))</f>
        <v>v5.0.0</v>
      </c>
      <c r="D347" s="23"/>
      <c r="E347" s="23"/>
      <c r="F347" s="23"/>
    </row>
    <row r="348" customFormat="false" ht="15" hidden="false" customHeight="false" outlineLevel="0" collapsed="false">
      <c r="A348" s="21" t="n">
        <v>46653</v>
      </c>
      <c r="B348" s="22" t="str">
        <f aca="false">TEXT(A348,"ddd")</f>
        <v>Thu</v>
      </c>
      <c r="C348" s="22" t="str">
        <f aca="false">INDEX(Releases!$A$2:$A$13,MATCH(A348,Releases!$B$2:$B$13,1))</f>
        <v>v5.0.0</v>
      </c>
      <c r="D348" s="23"/>
      <c r="E348" s="23"/>
      <c r="F348" s="23"/>
    </row>
    <row r="349" customFormat="false" ht="15" hidden="false" customHeight="false" outlineLevel="0" collapsed="false">
      <c r="A349" s="21" t="n">
        <v>46654</v>
      </c>
      <c r="B349" s="22" t="str">
        <f aca="false">TEXT(A349,"ddd")</f>
        <v>Fri</v>
      </c>
      <c r="C349" s="22" t="str">
        <f aca="false">INDEX(Releases!$A$2:$A$13,MATCH(A349,Releases!$B$2:$B$13,1))</f>
        <v>v5.0.0</v>
      </c>
      <c r="D349" s="23"/>
      <c r="E349" s="23"/>
      <c r="F349" s="23"/>
    </row>
    <row r="350" customFormat="false" ht="15" hidden="false" customHeight="false" outlineLevel="0" collapsed="false">
      <c r="A350" s="21" t="n">
        <v>46655</v>
      </c>
      <c r="B350" s="22" t="str">
        <f aca="false">TEXT(A350,"ddd")</f>
        <v>Sat</v>
      </c>
      <c r="C350" s="22" t="str">
        <f aca="false">INDEX(Releases!$A$2:$A$13,MATCH(A350,Releases!$B$2:$B$13,1))</f>
        <v>v5.0.0</v>
      </c>
      <c r="D350" s="23"/>
      <c r="E350" s="23"/>
      <c r="F350" s="23"/>
    </row>
    <row r="351" customFormat="false" ht="15" hidden="false" customHeight="false" outlineLevel="0" collapsed="false">
      <c r="A351" s="21" t="n">
        <v>46656</v>
      </c>
      <c r="B351" s="22" t="str">
        <f aca="false">TEXT(A351,"ddd")</f>
        <v>Sun</v>
      </c>
      <c r="C351" s="22" t="str">
        <f aca="false">INDEX(Releases!$A$2:$A$13,MATCH(A351,Releases!$B$2:$B$13,1))</f>
        <v>v5.0.0</v>
      </c>
      <c r="D351" s="23"/>
      <c r="E351" s="23"/>
      <c r="F351" s="23"/>
    </row>
    <row r="352" customFormat="false" ht="15" hidden="false" customHeight="false" outlineLevel="0" collapsed="false">
      <c r="A352" s="21" t="n">
        <v>46657</v>
      </c>
      <c r="B352" s="22" t="str">
        <f aca="false">TEXT(A352,"ddd")</f>
        <v>Mon</v>
      </c>
      <c r="C352" s="22" t="str">
        <f aca="false">INDEX(Releases!$A$2:$A$13,MATCH(A352,Releases!$B$2:$B$13,1))</f>
        <v>v5.0.0</v>
      </c>
      <c r="D352" s="23"/>
      <c r="E352" s="23"/>
      <c r="F352" s="23"/>
    </row>
    <row r="353" customFormat="false" ht="15" hidden="false" customHeight="false" outlineLevel="0" collapsed="false">
      <c r="A353" s="21" t="n">
        <v>46658</v>
      </c>
      <c r="B353" s="22" t="str">
        <f aca="false">TEXT(A353,"ddd")</f>
        <v>Tue</v>
      </c>
      <c r="C353" s="22" t="str">
        <f aca="false">INDEX(Releases!$A$2:$A$13,MATCH(A353,Releases!$B$2:$B$13,1))</f>
        <v>v5.0.0</v>
      </c>
      <c r="D353" s="23"/>
      <c r="E353" s="23"/>
      <c r="F353" s="23"/>
    </row>
    <row r="354" customFormat="false" ht="15" hidden="false" customHeight="false" outlineLevel="0" collapsed="false">
      <c r="A354" s="21" t="n">
        <v>46659</v>
      </c>
      <c r="B354" s="22" t="str">
        <f aca="false">TEXT(A354,"ddd")</f>
        <v>Wed</v>
      </c>
      <c r="C354" s="22" t="str">
        <f aca="false">INDEX(Releases!$A$2:$A$13,MATCH(A354,Releases!$B$2:$B$13,1))</f>
        <v>v5.0.0</v>
      </c>
      <c r="D354" s="23"/>
      <c r="E354" s="23"/>
      <c r="F354" s="23"/>
    </row>
    <row r="355" customFormat="false" ht="15" hidden="false" customHeight="false" outlineLevel="0" collapsed="false">
      <c r="A355" s="21" t="n">
        <v>46660</v>
      </c>
      <c r="B355" s="22" t="str">
        <f aca="false">TEXT(A355,"ddd")</f>
        <v>Thu</v>
      </c>
      <c r="C355" s="22" t="str">
        <f aca="false">INDEX(Releases!$A$2:$A$13,MATCH(A355,Releases!$B$2:$B$13,1))</f>
        <v>v5.0.0</v>
      </c>
      <c r="D355" s="23"/>
      <c r="E355" s="23"/>
      <c r="F355" s="23"/>
    </row>
    <row r="356" customFormat="false" ht="15" hidden="false" customHeight="false" outlineLevel="0" collapsed="false">
      <c r="A356" s="21" t="n">
        <v>46661</v>
      </c>
      <c r="B356" s="22" t="str">
        <f aca="false">TEXT(A356,"ddd")</f>
        <v>Fri</v>
      </c>
      <c r="C356" s="22" t="str">
        <f aca="false">INDEX(Releases!$A$2:$A$13,MATCH(A356,Releases!$B$2:$B$13,1))</f>
        <v>v5.0.0</v>
      </c>
      <c r="D356" s="23"/>
      <c r="E356" s="23"/>
      <c r="F356" s="23"/>
    </row>
    <row r="357" customFormat="false" ht="15" hidden="false" customHeight="false" outlineLevel="0" collapsed="false">
      <c r="A357" s="21" t="n">
        <v>46662</v>
      </c>
      <c r="B357" s="22" t="str">
        <f aca="false">TEXT(A357,"ddd")</f>
        <v>Sat</v>
      </c>
      <c r="C357" s="22" t="str">
        <f aca="false">INDEX(Releases!$A$2:$A$13,MATCH(A357,Releases!$B$2:$B$13,1))</f>
        <v>v5.0.0</v>
      </c>
      <c r="D357" s="23"/>
      <c r="E357" s="23"/>
      <c r="F357" s="23"/>
    </row>
    <row r="358" customFormat="false" ht="15" hidden="false" customHeight="false" outlineLevel="0" collapsed="false">
      <c r="A358" s="21" t="n">
        <v>46663</v>
      </c>
      <c r="B358" s="22" t="str">
        <f aca="false">TEXT(A358,"ddd")</f>
        <v>Sun</v>
      </c>
      <c r="C358" s="22" t="str">
        <f aca="false">INDEX(Releases!$A$2:$A$13,MATCH(A358,Releases!$B$2:$B$13,1))</f>
        <v>v5.0.0</v>
      </c>
      <c r="D358" s="23"/>
      <c r="E358" s="23"/>
      <c r="F358" s="23"/>
    </row>
    <row r="359" customFormat="false" ht="15" hidden="false" customHeight="false" outlineLevel="0" collapsed="false">
      <c r="A359" s="21" t="n">
        <v>46664</v>
      </c>
      <c r="B359" s="22" t="str">
        <f aca="false">TEXT(A359,"ddd")</f>
        <v>Mon</v>
      </c>
      <c r="C359" s="22" t="str">
        <f aca="false">INDEX(Releases!$A$2:$A$13,MATCH(A359,Releases!$B$2:$B$13,1))</f>
        <v>v5.0.0</v>
      </c>
      <c r="D359" s="23"/>
      <c r="E359" s="23"/>
      <c r="F359" s="23"/>
    </row>
    <row r="360" customFormat="false" ht="15" hidden="false" customHeight="false" outlineLevel="0" collapsed="false">
      <c r="A360" s="21" t="n">
        <v>46665</v>
      </c>
      <c r="B360" s="22" t="str">
        <f aca="false">TEXT(A360,"ddd")</f>
        <v>Tue</v>
      </c>
      <c r="C360" s="22" t="str">
        <f aca="false">INDEX(Releases!$A$2:$A$13,MATCH(A360,Releases!$B$2:$B$13,1))</f>
        <v>v5.0.0</v>
      </c>
      <c r="D360" s="23"/>
      <c r="E360" s="23"/>
      <c r="F360" s="23"/>
    </row>
    <row r="361" customFormat="false" ht="15" hidden="false" customHeight="false" outlineLevel="0" collapsed="false">
      <c r="A361" s="21" t="n">
        <v>46666</v>
      </c>
      <c r="B361" s="22" t="str">
        <f aca="false">TEXT(A361,"ddd")</f>
        <v>Wed</v>
      </c>
      <c r="C361" s="22" t="str">
        <f aca="false">INDEX(Releases!$A$2:$A$13,MATCH(A361,Releases!$B$2:$B$13,1))</f>
        <v>v5.0.0</v>
      </c>
      <c r="D361" s="23"/>
      <c r="E361" s="23"/>
      <c r="F361" s="23"/>
    </row>
    <row r="362" customFormat="false" ht="15" hidden="false" customHeight="false" outlineLevel="0" collapsed="false">
      <c r="A362" s="21" t="n">
        <v>46667</v>
      </c>
      <c r="B362" s="22" t="str">
        <f aca="false">TEXT(A362,"ddd")</f>
        <v>Thu</v>
      </c>
      <c r="C362" s="22" t="str">
        <f aca="false">INDEX(Releases!$A$2:$A$13,MATCH(A362,Releases!$B$2:$B$13,1))</f>
        <v>v5.0.0</v>
      </c>
      <c r="D362" s="23"/>
      <c r="E362" s="23"/>
      <c r="F362" s="23"/>
    </row>
    <row r="363" customFormat="false" ht="15" hidden="false" customHeight="false" outlineLevel="0" collapsed="false">
      <c r="A363" s="21" t="n">
        <v>46668</v>
      </c>
      <c r="B363" s="22" t="str">
        <f aca="false">TEXT(A363,"ddd")</f>
        <v>Fri</v>
      </c>
      <c r="C363" s="22" t="str">
        <f aca="false">INDEX(Releases!$A$2:$A$13,MATCH(A363,Releases!$B$2:$B$13,1))</f>
        <v>v5.0.0</v>
      </c>
      <c r="D363" s="23"/>
      <c r="E363" s="23"/>
      <c r="F363" s="23"/>
    </row>
    <row r="364" customFormat="false" ht="15" hidden="false" customHeight="false" outlineLevel="0" collapsed="false">
      <c r="A364" s="21" t="n">
        <v>46669</v>
      </c>
      <c r="B364" s="22" t="str">
        <f aca="false">TEXT(A364,"ddd")</f>
        <v>Sat</v>
      </c>
      <c r="C364" s="22" t="str">
        <f aca="false">INDEX(Releases!$A$2:$A$13,MATCH(A364,Releases!$B$2:$B$13,1))</f>
        <v>v5.0.0</v>
      </c>
      <c r="D364" s="23"/>
      <c r="E364" s="23"/>
      <c r="F364" s="23"/>
    </row>
    <row r="365" customFormat="false" ht="15" hidden="false" customHeight="false" outlineLevel="0" collapsed="false">
      <c r="A365" s="21" t="n">
        <v>46670</v>
      </c>
      <c r="B365" s="22" t="str">
        <f aca="false">TEXT(A365,"ddd")</f>
        <v>Sun</v>
      </c>
      <c r="C365" s="22" t="str">
        <f aca="false">INDEX(Releases!$A$2:$A$13,MATCH(A365,Releases!$B$2:$B$13,1))</f>
        <v>v5.0.0</v>
      </c>
      <c r="D365" s="23"/>
      <c r="E365" s="23"/>
      <c r="F365" s="23"/>
    </row>
    <row r="366" customFormat="false" ht="15" hidden="false" customHeight="false" outlineLevel="0" collapsed="false">
      <c r="A366" s="21" t="n">
        <v>46671</v>
      </c>
      <c r="B366" s="22" t="str">
        <f aca="false">TEXT(A366,"ddd")</f>
        <v>Mon</v>
      </c>
      <c r="C366" s="22" t="str">
        <f aca="false">INDEX(Releases!$A$2:$A$13,MATCH(A366,Releases!$B$2:$B$13,1))</f>
        <v>v5.0.0</v>
      </c>
      <c r="D366" s="23"/>
      <c r="E366" s="23"/>
      <c r="F366" s="23"/>
    </row>
    <row r="367" customFormat="false" ht="15" hidden="false" customHeight="false" outlineLevel="0" collapsed="false">
      <c r="A367" s="21" t="n">
        <v>46672</v>
      </c>
      <c r="B367" s="22" t="str">
        <f aca="false">TEXT(A367,"ddd")</f>
        <v>Tue</v>
      </c>
      <c r="C367" s="22" t="str">
        <f aca="false">INDEX(Releases!$A$2:$A$13,MATCH(A367,Releases!$B$2:$B$13,1))</f>
        <v>v5.0.0</v>
      </c>
      <c r="D367" s="23"/>
      <c r="E367" s="23"/>
      <c r="F367" s="23"/>
    </row>
    <row r="368" customFormat="false" ht="15" hidden="false" customHeight="false" outlineLevel="0" collapsed="false">
      <c r="A368" s="21" t="n">
        <v>46673</v>
      </c>
      <c r="B368" s="22" t="str">
        <f aca="false">TEXT(A368,"ddd")</f>
        <v>Wed</v>
      </c>
      <c r="C368" s="22" t="str">
        <f aca="false">INDEX(Releases!$A$2:$A$13,MATCH(A368,Releases!$B$2:$B$13,1))</f>
        <v>v5.0.0</v>
      </c>
      <c r="D368" s="23"/>
      <c r="E368" s="23"/>
      <c r="F368" s="23"/>
    </row>
    <row r="369" customFormat="false" ht="15" hidden="false" customHeight="false" outlineLevel="0" collapsed="false">
      <c r="A369" s="21" t="n">
        <v>46674</v>
      </c>
      <c r="B369" s="22" t="str">
        <f aca="false">TEXT(A369,"ddd")</f>
        <v>Thu</v>
      </c>
      <c r="C369" s="22" t="str">
        <f aca="false">INDEX(Releases!$A$2:$A$13,MATCH(A369,Releases!$B$2:$B$13,1))</f>
        <v>v5.0.0</v>
      </c>
      <c r="D369" s="23"/>
      <c r="E369" s="23"/>
      <c r="F369" s="23"/>
    </row>
    <row r="370" customFormat="false" ht="15" hidden="false" customHeight="false" outlineLevel="0" collapsed="false">
      <c r="A370" s="21" t="n">
        <v>46675</v>
      </c>
      <c r="B370" s="22" t="str">
        <f aca="false">TEXT(A370,"ddd")</f>
        <v>Fri</v>
      </c>
      <c r="C370" s="22" t="str">
        <f aca="false">INDEX(Releases!$A$2:$A$13,MATCH(A370,Releases!$B$2:$B$13,1))</f>
        <v>v5.0.0</v>
      </c>
      <c r="D370" s="23"/>
      <c r="E370" s="23"/>
      <c r="F370" s="23"/>
    </row>
  </sheetData>
  <conditionalFormatting sqref="A2:F370">
    <cfRule type="expression" priority="2" aboveAverage="0" equalAverage="0" bottom="0" percent="0" rank="0" text="" dxfId="2">
      <formula>$A2=TODAY()</formula>
    </cfRule>
  </conditionalFormatting>
  <dataValidations count="2">
    <dataValidation allowBlank="true" errorStyle="stop" operator="between" showDropDown="false" showErrorMessage="false" showInputMessage="false" sqref="F2:F370" type="list">
      <formula1>"Yes,No"</formula1>
      <formula2>0</formula2>
    </dataValidation>
    <dataValidation allowBlank="true" errorStyle="stop" operator="between" showDropDown="false" showErrorMessage="false" showInputMessage="false" sqref="D2:D370" type="decimal">
      <formula1>0</formula1>
      <formula2>16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5" min="3" style="0" width="10"/>
  </cols>
  <sheetData>
    <row r="1" customFormat="false" ht="26.85" hidden="false" customHeight="false" outlineLevel="0" collapsed="false">
      <c r="A1" s="4" t="s">
        <v>127</v>
      </c>
      <c r="B1" s="4" t="s">
        <v>128</v>
      </c>
      <c r="C1" s="4" t="s">
        <v>71</v>
      </c>
      <c r="D1" s="4" t="s">
        <v>129</v>
      </c>
      <c r="E1" s="4" t="s">
        <v>130</v>
      </c>
    </row>
    <row r="2" customFormat="false" ht="15" hidden="false" customHeight="false" outlineLevel="0" collapsed="false">
      <c r="A2" s="21" t="n">
        <v>46307</v>
      </c>
      <c r="B2" s="21" t="n">
        <f aca="false">A2+6</f>
        <v>46313</v>
      </c>
      <c r="C2" s="24" t="n">
        <f aca="false">Settings!$B$3</f>
        <v>31.5</v>
      </c>
      <c r="D2" s="24" t="n">
        <f aca="false">SUMIFS('Daily log'!$D$2:$D$370,'Daily log'!$A$2:$A$370,"&gt;="&amp;A2,'Daily log'!$A$2:$A$370,"&lt;="&amp;B2)</f>
        <v>0</v>
      </c>
      <c r="E2" s="25" t="n">
        <f aca="false">D2-C2</f>
        <v>-31.5</v>
      </c>
    </row>
    <row r="3" customFormat="false" ht="15" hidden="false" customHeight="false" outlineLevel="0" collapsed="false">
      <c r="A3" s="21" t="n">
        <v>46314</v>
      </c>
      <c r="B3" s="21" t="n">
        <f aca="false">A3+6</f>
        <v>46320</v>
      </c>
      <c r="C3" s="24" t="n">
        <f aca="false">Settings!$B$3</f>
        <v>31.5</v>
      </c>
      <c r="D3" s="24" t="n">
        <f aca="false">SUMIFS('Daily log'!$D$2:$D$370,'Daily log'!$A$2:$A$370,"&gt;="&amp;A3,'Daily log'!$A$2:$A$370,"&lt;="&amp;B3)</f>
        <v>0</v>
      </c>
      <c r="E3" s="25" t="n">
        <f aca="false">D3-C3</f>
        <v>-31.5</v>
      </c>
    </row>
    <row r="4" customFormat="false" ht="15" hidden="false" customHeight="false" outlineLevel="0" collapsed="false">
      <c r="A4" s="21" t="n">
        <v>46321</v>
      </c>
      <c r="B4" s="21" t="n">
        <f aca="false">A4+6</f>
        <v>46327</v>
      </c>
      <c r="C4" s="24" t="n">
        <f aca="false">Settings!$B$3</f>
        <v>31.5</v>
      </c>
      <c r="D4" s="24" t="n">
        <f aca="false">SUMIFS('Daily log'!$D$2:$D$370,'Daily log'!$A$2:$A$370,"&gt;="&amp;A4,'Daily log'!$A$2:$A$370,"&lt;="&amp;B4)</f>
        <v>0</v>
      </c>
      <c r="E4" s="25" t="n">
        <f aca="false">D4-C4</f>
        <v>-31.5</v>
      </c>
    </row>
    <row r="5" customFormat="false" ht="15" hidden="false" customHeight="false" outlineLevel="0" collapsed="false">
      <c r="A5" s="21" t="n">
        <v>46328</v>
      </c>
      <c r="B5" s="21" t="n">
        <f aca="false">A5+6</f>
        <v>46334</v>
      </c>
      <c r="C5" s="24" t="n">
        <f aca="false">Settings!$B$3</f>
        <v>31.5</v>
      </c>
      <c r="D5" s="24" t="n">
        <f aca="false">SUMIFS('Daily log'!$D$2:$D$370,'Daily log'!$A$2:$A$370,"&gt;="&amp;A5,'Daily log'!$A$2:$A$370,"&lt;="&amp;B5)</f>
        <v>0</v>
      </c>
      <c r="E5" s="25" t="n">
        <f aca="false">D5-C5</f>
        <v>-31.5</v>
      </c>
    </row>
    <row r="6" customFormat="false" ht="15" hidden="false" customHeight="false" outlineLevel="0" collapsed="false">
      <c r="A6" s="21" t="n">
        <v>46335</v>
      </c>
      <c r="B6" s="21" t="n">
        <f aca="false">A6+6</f>
        <v>46341</v>
      </c>
      <c r="C6" s="24" t="n">
        <f aca="false">Settings!$B$3</f>
        <v>31.5</v>
      </c>
      <c r="D6" s="24" t="n">
        <f aca="false">SUMIFS('Daily log'!$D$2:$D$370,'Daily log'!$A$2:$A$370,"&gt;="&amp;A6,'Daily log'!$A$2:$A$370,"&lt;="&amp;B6)</f>
        <v>0</v>
      </c>
      <c r="E6" s="25" t="n">
        <f aca="false">D6-C6</f>
        <v>-31.5</v>
      </c>
    </row>
    <row r="7" customFormat="false" ht="15" hidden="false" customHeight="false" outlineLevel="0" collapsed="false">
      <c r="A7" s="21" t="n">
        <v>46342</v>
      </c>
      <c r="B7" s="21" t="n">
        <f aca="false">A7+6</f>
        <v>46348</v>
      </c>
      <c r="C7" s="24" t="n">
        <f aca="false">Settings!$B$3</f>
        <v>31.5</v>
      </c>
      <c r="D7" s="24" t="n">
        <f aca="false">SUMIFS('Daily log'!$D$2:$D$370,'Daily log'!$A$2:$A$370,"&gt;="&amp;A7,'Daily log'!$A$2:$A$370,"&lt;="&amp;B7)</f>
        <v>0</v>
      </c>
      <c r="E7" s="25" t="n">
        <f aca="false">D7-C7</f>
        <v>-31.5</v>
      </c>
    </row>
    <row r="8" customFormat="false" ht="15" hidden="false" customHeight="false" outlineLevel="0" collapsed="false">
      <c r="A8" s="21" t="n">
        <v>46349</v>
      </c>
      <c r="B8" s="21" t="n">
        <f aca="false">A8+6</f>
        <v>46355</v>
      </c>
      <c r="C8" s="24" t="n">
        <f aca="false">Settings!$B$3</f>
        <v>31.5</v>
      </c>
      <c r="D8" s="24" t="n">
        <f aca="false">SUMIFS('Daily log'!$D$2:$D$370,'Daily log'!$A$2:$A$370,"&gt;="&amp;A8,'Daily log'!$A$2:$A$370,"&lt;="&amp;B8)</f>
        <v>0</v>
      </c>
      <c r="E8" s="25" t="n">
        <f aca="false">D8-C8</f>
        <v>-31.5</v>
      </c>
    </row>
    <row r="9" customFormat="false" ht="15" hidden="false" customHeight="false" outlineLevel="0" collapsed="false">
      <c r="A9" s="21" t="n">
        <v>46356</v>
      </c>
      <c r="B9" s="21" t="n">
        <f aca="false">A9+6</f>
        <v>46362</v>
      </c>
      <c r="C9" s="24" t="n">
        <f aca="false">Settings!$B$3</f>
        <v>31.5</v>
      </c>
      <c r="D9" s="24" t="n">
        <f aca="false">SUMIFS('Daily log'!$D$2:$D$370,'Daily log'!$A$2:$A$370,"&gt;="&amp;A9,'Daily log'!$A$2:$A$370,"&lt;="&amp;B9)</f>
        <v>0</v>
      </c>
      <c r="E9" s="25" t="n">
        <f aca="false">D9-C9</f>
        <v>-31.5</v>
      </c>
    </row>
    <row r="10" customFormat="false" ht="15" hidden="false" customHeight="false" outlineLevel="0" collapsed="false">
      <c r="A10" s="21" t="n">
        <v>46363</v>
      </c>
      <c r="B10" s="21" t="n">
        <f aca="false">A10+6</f>
        <v>46369</v>
      </c>
      <c r="C10" s="24" t="n">
        <f aca="false">Settings!$B$3</f>
        <v>31.5</v>
      </c>
      <c r="D10" s="24" t="n">
        <f aca="false">SUMIFS('Daily log'!$D$2:$D$370,'Daily log'!$A$2:$A$370,"&gt;="&amp;A10,'Daily log'!$A$2:$A$370,"&lt;="&amp;B10)</f>
        <v>0</v>
      </c>
      <c r="E10" s="25" t="n">
        <f aca="false">D10-C10</f>
        <v>-31.5</v>
      </c>
    </row>
    <row r="11" customFormat="false" ht="15" hidden="false" customHeight="false" outlineLevel="0" collapsed="false">
      <c r="A11" s="21" t="n">
        <v>46370</v>
      </c>
      <c r="B11" s="21" t="n">
        <f aca="false">A11+6</f>
        <v>46376</v>
      </c>
      <c r="C11" s="24" t="n">
        <f aca="false">Settings!$B$3</f>
        <v>31.5</v>
      </c>
      <c r="D11" s="24" t="n">
        <f aca="false">SUMIFS('Daily log'!$D$2:$D$370,'Daily log'!$A$2:$A$370,"&gt;="&amp;A11,'Daily log'!$A$2:$A$370,"&lt;="&amp;B11)</f>
        <v>0</v>
      </c>
      <c r="E11" s="25" t="n">
        <f aca="false">D11-C11</f>
        <v>-31.5</v>
      </c>
    </row>
    <row r="12" customFormat="false" ht="15" hidden="false" customHeight="false" outlineLevel="0" collapsed="false">
      <c r="A12" s="21" t="n">
        <v>46377</v>
      </c>
      <c r="B12" s="21" t="n">
        <f aca="false">A12+6</f>
        <v>46383</v>
      </c>
      <c r="C12" s="24" t="n">
        <f aca="false">Settings!$B$3</f>
        <v>31.5</v>
      </c>
      <c r="D12" s="24" t="n">
        <f aca="false">SUMIFS('Daily log'!$D$2:$D$370,'Daily log'!$A$2:$A$370,"&gt;="&amp;A12,'Daily log'!$A$2:$A$370,"&lt;="&amp;B12)</f>
        <v>0</v>
      </c>
      <c r="E12" s="25" t="n">
        <f aca="false">D12-C12</f>
        <v>-31.5</v>
      </c>
    </row>
    <row r="13" customFormat="false" ht="15" hidden="false" customHeight="false" outlineLevel="0" collapsed="false">
      <c r="A13" s="21" t="n">
        <v>46384</v>
      </c>
      <c r="B13" s="21" t="n">
        <f aca="false">A13+6</f>
        <v>46390</v>
      </c>
      <c r="C13" s="24" t="n">
        <f aca="false">Settings!$B$3</f>
        <v>31.5</v>
      </c>
      <c r="D13" s="24" t="n">
        <f aca="false">SUMIFS('Daily log'!$D$2:$D$370,'Daily log'!$A$2:$A$370,"&gt;="&amp;A13,'Daily log'!$A$2:$A$370,"&lt;="&amp;B13)</f>
        <v>0</v>
      </c>
      <c r="E13" s="25" t="n">
        <f aca="false">D13-C13</f>
        <v>-31.5</v>
      </c>
    </row>
    <row r="14" customFormat="false" ht="15" hidden="false" customHeight="false" outlineLevel="0" collapsed="false">
      <c r="A14" s="21" t="n">
        <v>46391</v>
      </c>
      <c r="B14" s="21" t="n">
        <f aca="false">A14+6</f>
        <v>46397</v>
      </c>
      <c r="C14" s="24" t="n">
        <f aca="false">Settings!$B$3</f>
        <v>31.5</v>
      </c>
      <c r="D14" s="24" t="n">
        <f aca="false">SUMIFS('Daily log'!$D$2:$D$370,'Daily log'!$A$2:$A$370,"&gt;="&amp;A14,'Daily log'!$A$2:$A$370,"&lt;="&amp;B14)</f>
        <v>0</v>
      </c>
      <c r="E14" s="25" t="n">
        <f aca="false">D14-C14</f>
        <v>-31.5</v>
      </c>
    </row>
    <row r="15" customFormat="false" ht="15" hidden="false" customHeight="false" outlineLevel="0" collapsed="false">
      <c r="A15" s="21" t="n">
        <v>46398</v>
      </c>
      <c r="B15" s="21" t="n">
        <f aca="false">A15+6</f>
        <v>46404</v>
      </c>
      <c r="C15" s="24" t="n">
        <f aca="false">Settings!$B$3</f>
        <v>31.5</v>
      </c>
      <c r="D15" s="24" t="n">
        <f aca="false">SUMIFS('Daily log'!$D$2:$D$370,'Daily log'!$A$2:$A$370,"&gt;="&amp;A15,'Daily log'!$A$2:$A$370,"&lt;="&amp;B15)</f>
        <v>0</v>
      </c>
      <c r="E15" s="25" t="n">
        <f aca="false">D15-C15</f>
        <v>-31.5</v>
      </c>
    </row>
    <row r="16" customFormat="false" ht="15" hidden="false" customHeight="false" outlineLevel="0" collapsed="false">
      <c r="A16" s="21" t="n">
        <v>46405</v>
      </c>
      <c r="B16" s="21" t="n">
        <f aca="false">A16+6</f>
        <v>46411</v>
      </c>
      <c r="C16" s="24" t="n">
        <f aca="false">Settings!$B$3</f>
        <v>31.5</v>
      </c>
      <c r="D16" s="24" t="n">
        <f aca="false">SUMIFS('Daily log'!$D$2:$D$370,'Daily log'!$A$2:$A$370,"&gt;="&amp;A16,'Daily log'!$A$2:$A$370,"&lt;="&amp;B16)</f>
        <v>0</v>
      </c>
      <c r="E16" s="25" t="n">
        <f aca="false">D16-C16</f>
        <v>-31.5</v>
      </c>
    </row>
    <row r="17" customFormat="false" ht="15" hidden="false" customHeight="false" outlineLevel="0" collapsed="false">
      <c r="A17" s="21" t="n">
        <v>46412</v>
      </c>
      <c r="B17" s="21" t="n">
        <f aca="false">A17+6</f>
        <v>46418</v>
      </c>
      <c r="C17" s="24" t="n">
        <f aca="false">Settings!$B$3</f>
        <v>31.5</v>
      </c>
      <c r="D17" s="24" t="n">
        <f aca="false">SUMIFS('Daily log'!$D$2:$D$370,'Daily log'!$A$2:$A$370,"&gt;="&amp;A17,'Daily log'!$A$2:$A$370,"&lt;="&amp;B17)</f>
        <v>0</v>
      </c>
      <c r="E17" s="25" t="n">
        <f aca="false">D17-C17</f>
        <v>-31.5</v>
      </c>
    </row>
    <row r="18" customFormat="false" ht="15" hidden="false" customHeight="false" outlineLevel="0" collapsed="false">
      <c r="A18" s="21" t="n">
        <v>46419</v>
      </c>
      <c r="B18" s="21" t="n">
        <f aca="false">A18+6</f>
        <v>46425</v>
      </c>
      <c r="C18" s="24" t="n">
        <f aca="false">Settings!$B$3</f>
        <v>31.5</v>
      </c>
      <c r="D18" s="24" t="n">
        <f aca="false">SUMIFS('Daily log'!$D$2:$D$370,'Daily log'!$A$2:$A$370,"&gt;="&amp;A18,'Daily log'!$A$2:$A$370,"&lt;="&amp;B18)</f>
        <v>0</v>
      </c>
      <c r="E18" s="25" t="n">
        <f aca="false">D18-C18</f>
        <v>-31.5</v>
      </c>
    </row>
    <row r="19" customFormat="false" ht="15" hidden="false" customHeight="false" outlineLevel="0" collapsed="false">
      <c r="A19" s="21" t="n">
        <v>46426</v>
      </c>
      <c r="B19" s="21" t="n">
        <f aca="false">A19+6</f>
        <v>46432</v>
      </c>
      <c r="C19" s="24" t="n">
        <f aca="false">Settings!$B$3</f>
        <v>31.5</v>
      </c>
      <c r="D19" s="24" t="n">
        <f aca="false">SUMIFS('Daily log'!$D$2:$D$370,'Daily log'!$A$2:$A$370,"&gt;="&amp;A19,'Daily log'!$A$2:$A$370,"&lt;="&amp;B19)</f>
        <v>0</v>
      </c>
      <c r="E19" s="25" t="n">
        <f aca="false">D19-C19</f>
        <v>-31.5</v>
      </c>
    </row>
    <row r="20" customFormat="false" ht="15" hidden="false" customHeight="false" outlineLevel="0" collapsed="false">
      <c r="A20" s="21" t="n">
        <v>46433</v>
      </c>
      <c r="B20" s="21" t="n">
        <f aca="false">A20+6</f>
        <v>46439</v>
      </c>
      <c r="C20" s="24" t="n">
        <f aca="false">Settings!$B$3</f>
        <v>31.5</v>
      </c>
      <c r="D20" s="24" t="n">
        <f aca="false">SUMIFS('Daily log'!$D$2:$D$370,'Daily log'!$A$2:$A$370,"&gt;="&amp;A20,'Daily log'!$A$2:$A$370,"&lt;="&amp;B20)</f>
        <v>0</v>
      </c>
      <c r="E20" s="25" t="n">
        <f aca="false">D20-C20</f>
        <v>-31.5</v>
      </c>
    </row>
    <row r="21" customFormat="false" ht="15" hidden="false" customHeight="false" outlineLevel="0" collapsed="false">
      <c r="A21" s="21" t="n">
        <v>46440</v>
      </c>
      <c r="B21" s="21" t="n">
        <f aca="false">A21+6</f>
        <v>46446</v>
      </c>
      <c r="C21" s="24" t="n">
        <f aca="false">Settings!$B$3</f>
        <v>31.5</v>
      </c>
      <c r="D21" s="24" t="n">
        <f aca="false">SUMIFS('Daily log'!$D$2:$D$370,'Daily log'!$A$2:$A$370,"&gt;="&amp;A21,'Daily log'!$A$2:$A$370,"&lt;="&amp;B21)</f>
        <v>0</v>
      </c>
      <c r="E21" s="25" t="n">
        <f aca="false">D21-C21</f>
        <v>-31.5</v>
      </c>
    </row>
    <row r="22" customFormat="false" ht="15" hidden="false" customHeight="false" outlineLevel="0" collapsed="false">
      <c r="A22" s="21" t="n">
        <v>46447</v>
      </c>
      <c r="B22" s="21" t="n">
        <f aca="false">A22+6</f>
        <v>46453</v>
      </c>
      <c r="C22" s="24" t="n">
        <f aca="false">Settings!$B$3</f>
        <v>31.5</v>
      </c>
      <c r="D22" s="24" t="n">
        <f aca="false">SUMIFS('Daily log'!$D$2:$D$370,'Daily log'!$A$2:$A$370,"&gt;="&amp;A22,'Daily log'!$A$2:$A$370,"&lt;="&amp;B22)</f>
        <v>0</v>
      </c>
      <c r="E22" s="25" t="n">
        <f aca="false">D22-C22</f>
        <v>-31.5</v>
      </c>
    </row>
    <row r="23" customFormat="false" ht="15" hidden="false" customHeight="false" outlineLevel="0" collapsed="false">
      <c r="A23" s="21" t="n">
        <v>46454</v>
      </c>
      <c r="B23" s="21" t="n">
        <f aca="false">A23+6</f>
        <v>46460</v>
      </c>
      <c r="C23" s="24" t="n">
        <f aca="false">Settings!$B$3</f>
        <v>31.5</v>
      </c>
      <c r="D23" s="24" t="n">
        <f aca="false">SUMIFS('Daily log'!$D$2:$D$370,'Daily log'!$A$2:$A$370,"&gt;="&amp;A23,'Daily log'!$A$2:$A$370,"&lt;="&amp;B23)</f>
        <v>0</v>
      </c>
      <c r="E23" s="25" t="n">
        <f aca="false">D23-C23</f>
        <v>-31.5</v>
      </c>
    </row>
    <row r="24" customFormat="false" ht="15" hidden="false" customHeight="false" outlineLevel="0" collapsed="false">
      <c r="A24" s="21" t="n">
        <v>46461</v>
      </c>
      <c r="B24" s="21" t="n">
        <f aca="false">A24+6</f>
        <v>46467</v>
      </c>
      <c r="C24" s="24" t="n">
        <f aca="false">Settings!$B$3</f>
        <v>31.5</v>
      </c>
      <c r="D24" s="24" t="n">
        <f aca="false">SUMIFS('Daily log'!$D$2:$D$370,'Daily log'!$A$2:$A$370,"&gt;="&amp;A24,'Daily log'!$A$2:$A$370,"&lt;="&amp;B24)</f>
        <v>0</v>
      </c>
      <c r="E24" s="25" t="n">
        <f aca="false">D24-C24</f>
        <v>-31.5</v>
      </c>
    </row>
    <row r="25" customFormat="false" ht="15" hidden="false" customHeight="false" outlineLevel="0" collapsed="false">
      <c r="A25" s="21" t="n">
        <v>46468</v>
      </c>
      <c r="B25" s="21" t="n">
        <f aca="false">A25+6</f>
        <v>46474</v>
      </c>
      <c r="C25" s="24" t="n">
        <f aca="false">Settings!$B$3</f>
        <v>31.5</v>
      </c>
      <c r="D25" s="24" t="n">
        <f aca="false">SUMIFS('Daily log'!$D$2:$D$370,'Daily log'!$A$2:$A$370,"&gt;="&amp;A25,'Daily log'!$A$2:$A$370,"&lt;="&amp;B25)</f>
        <v>0</v>
      </c>
      <c r="E25" s="25" t="n">
        <f aca="false">D25-C25</f>
        <v>-31.5</v>
      </c>
    </row>
    <row r="26" customFormat="false" ht="15" hidden="false" customHeight="false" outlineLevel="0" collapsed="false">
      <c r="A26" s="21" t="n">
        <v>46475</v>
      </c>
      <c r="B26" s="21" t="n">
        <f aca="false">A26+6</f>
        <v>46481</v>
      </c>
      <c r="C26" s="24" t="n">
        <f aca="false">Settings!$B$3</f>
        <v>31.5</v>
      </c>
      <c r="D26" s="24" t="n">
        <f aca="false">SUMIFS('Daily log'!$D$2:$D$370,'Daily log'!$A$2:$A$370,"&gt;="&amp;A26,'Daily log'!$A$2:$A$370,"&lt;="&amp;B26)</f>
        <v>0</v>
      </c>
      <c r="E26" s="25" t="n">
        <f aca="false">D26-C26</f>
        <v>-31.5</v>
      </c>
    </row>
    <row r="27" customFormat="false" ht="15" hidden="false" customHeight="false" outlineLevel="0" collapsed="false">
      <c r="A27" s="21" t="n">
        <v>46482</v>
      </c>
      <c r="B27" s="21" t="n">
        <f aca="false">A27+6</f>
        <v>46488</v>
      </c>
      <c r="C27" s="24" t="n">
        <f aca="false">Settings!$B$3</f>
        <v>31.5</v>
      </c>
      <c r="D27" s="24" t="n">
        <f aca="false">SUMIFS('Daily log'!$D$2:$D$370,'Daily log'!$A$2:$A$370,"&gt;="&amp;A27,'Daily log'!$A$2:$A$370,"&lt;="&amp;B27)</f>
        <v>0</v>
      </c>
      <c r="E27" s="25" t="n">
        <f aca="false">D27-C27</f>
        <v>-31.5</v>
      </c>
    </row>
    <row r="28" customFormat="false" ht="15" hidden="false" customHeight="false" outlineLevel="0" collapsed="false">
      <c r="A28" s="21" t="n">
        <v>46489</v>
      </c>
      <c r="B28" s="21" t="n">
        <f aca="false">A28+6</f>
        <v>46495</v>
      </c>
      <c r="C28" s="24" t="n">
        <f aca="false">Settings!$B$3</f>
        <v>31.5</v>
      </c>
      <c r="D28" s="24" t="n">
        <f aca="false">SUMIFS('Daily log'!$D$2:$D$370,'Daily log'!$A$2:$A$370,"&gt;="&amp;A28,'Daily log'!$A$2:$A$370,"&lt;="&amp;B28)</f>
        <v>0</v>
      </c>
      <c r="E28" s="25" t="n">
        <f aca="false">D28-C28</f>
        <v>-31.5</v>
      </c>
    </row>
    <row r="29" customFormat="false" ht="15" hidden="false" customHeight="false" outlineLevel="0" collapsed="false">
      <c r="A29" s="21" t="n">
        <v>46496</v>
      </c>
      <c r="B29" s="21" t="n">
        <f aca="false">A29+6</f>
        <v>46502</v>
      </c>
      <c r="C29" s="24" t="n">
        <f aca="false">Settings!$B$3</f>
        <v>31.5</v>
      </c>
      <c r="D29" s="24" t="n">
        <f aca="false">SUMIFS('Daily log'!$D$2:$D$370,'Daily log'!$A$2:$A$370,"&gt;="&amp;A29,'Daily log'!$A$2:$A$370,"&lt;="&amp;B29)</f>
        <v>0</v>
      </c>
      <c r="E29" s="25" t="n">
        <f aca="false">D29-C29</f>
        <v>-31.5</v>
      </c>
    </row>
    <row r="30" customFormat="false" ht="15" hidden="false" customHeight="false" outlineLevel="0" collapsed="false">
      <c r="A30" s="21" t="n">
        <v>46503</v>
      </c>
      <c r="B30" s="21" t="n">
        <f aca="false">A30+6</f>
        <v>46509</v>
      </c>
      <c r="C30" s="24" t="n">
        <f aca="false">Settings!$B$3</f>
        <v>31.5</v>
      </c>
      <c r="D30" s="24" t="n">
        <f aca="false">SUMIFS('Daily log'!$D$2:$D$370,'Daily log'!$A$2:$A$370,"&gt;="&amp;A30,'Daily log'!$A$2:$A$370,"&lt;="&amp;B30)</f>
        <v>0</v>
      </c>
      <c r="E30" s="25" t="n">
        <f aca="false">D30-C30</f>
        <v>-31.5</v>
      </c>
    </row>
    <row r="31" customFormat="false" ht="15" hidden="false" customHeight="false" outlineLevel="0" collapsed="false">
      <c r="A31" s="21" t="n">
        <v>46510</v>
      </c>
      <c r="B31" s="21" t="n">
        <f aca="false">A31+6</f>
        <v>46516</v>
      </c>
      <c r="C31" s="24" t="n">
        <f aca="false">Settings!$B$3</f>
        <v>31.5</v>
      </c>
      <c r="D31" s="24" t="n">
        <f aca="false">SUMIFS('Daily log'!$D$2:$D$370,'Daily log'!$A$2:$A$370,"&gt;="&amp;A31,'Daily log'!$A$2:$A$370,"&lt;="&amp;B31)</f>
        <v>0</v>
      </c>
      <c r="E31" s="25" t="n">
        <f aca="false">D31-C31</f>
        <v>-31.5</v>
      </c>
    </row>
    <row r="32" customFormat="false" ht="15" hidden="false" customHeight="false" outlineLevel="0" collapsed="false">
      <c r="A32" s="21" t="n">
        <v>46517</v>
      </c>
      <c r="B32" s="21" t="n">
        <f aca="false">A32+6</f>
        <v>46523</v>
      </c>
      <c r="C32" s="24" t="n">
        <f aca="false">Settings!$B$3</f>
        <v>31.5</v>
      </c>
      <c r="D32" s="24" t="n">
        <f aca="false">SUMIFS('Daily log'!$D$2:$D$370,'Daily log'!$A$2:$A$370,"&gt;="&amp;A32,'Daily log'!$A$2:$A$370,"&lt;="&amp;B32)</f>
        <v>0</v>
      </c>
      <c r="E32" s="25" t="n">
        <f aca="false">D32-C32</f>
        <v>-31.5</v>
      </c>
    </row>
    <row r="33" customFormat="false" ht="15" hidden="false" customHeight="false" outlineLevel="0" collapsed="false">
      <c r="A33" s="21" t="n">
        <v>46524</v>
      </c>
      <c r="B33" s="21" t="n">
        <f aca="false">A33+6</f>
        <v>46530</v>
      </c>
      <c r="C33" s="24" t="n">
        <f aca="false">Settings!$B$3</f>
        <v>31.5</v>
      </c>
      <c r="D33" s="24" t="n">
        <f aca="false">SUMIFS('Daily log'!$D$2:$D$370,'Daily log'!$A$2:$A$370,"&gt;="&amp;A33,'Daily log'!$A$2:$A$370,"&lt;="&amp;B33)</f>
        <v>0</v>
      </c>
      <c r="E33" s="25" t="n">
        <f aca="false">D33-C33</f>
        <v>-31.5</v>
      </c>
    </row>
    <row r="34" customFormat="false" ht="15" hidden="false" customHeight="false" outlineLevel="0" collapsed="false">
      <c r="A34" s="21" t="n">
        <v>46531</v>
      </c>
      <c r="B34" s="21" t="n">
        <f aca="false">A34+6</f>
        <v>46537</v>
      </c>
      <c r="C34" s="24" t="n">
        <f aca="false">Settings!$B$3</f>
        <v>31.5</v>
      </c>
      <c r="D34" s="24" t="n">
        <f aca="false">SUMIFS('Daily log'!$D$2:$D$370,'Daily log'!$A$2:$A$370,"&gt;="&amp;A34,'Daily log'!$A$2:$A$370,"&lt;="&amp;B34)</f>
        <v>0</v>
      </c>
      <c r="E34" s="25" t="n">
        <f aca="false">D34-C34</f>
        <v>-31.5</v>
      </c>
    </row>
    <row r="35" customFormat="false" ht="15" hidden="false" customHeight="false" outlineLevel="0" collapsed="false">
      <c r="A35" s="21" t="n">
        <v>46538</v>
      </c>
      <c r="B35" s="21" t="n">
        <f aca="false">A35+6</f>
        <v>46544</v>
      </c>
      <c r="C35" s="24" t="n">
        <f aca="false">Settings!$B$3</f>
        <v>31.5</v>
      </c>
      <c r="D35" s="24" t="n">
        <f aca="false">SUMIFS('Daily log'!$D$2:$D$370,'Daily log'!$A$2:$A$370,"&gt;="&amp;A35,'Daily log'!$A$2:$A$370,"&lt;="&amp;B35)</f>
        <v>0</v>
      </c>
      <c r="E35" s="25" t="n">
        <f aca="false">D35-C35</f>
        <v>-31.5</v>
      </c>
    </row>
    <row r="36" customFormat="false" ht="15" hidden="false" customHeight="false" outlineLevel="0" collapsed="false">
      <c r="A36" s="21" t="n">
        <v>46545</v>
      </c>
      <c r="B36" s="21" t="n">
        <f aca="false">A36+6</f>
        <v>46551</v>
      </c>
      <c r="C36" s="24" t="n">
        <f aca="false">Settings!$B$3</f>
        <v>31.5</v>
      </c>
      <c r="D36" s="24" t="n">
        <f aca="false">SUMIFS('Daily log'!$D$2:$D$370,'Daily log'!$A$2:$A$370,"&gt;="&amp;A36,'Daily log'!$A$2:$A$370,"&lt;="&amp;B36)</f>
        <v>0</v>
      </c>
      <c r="E36" s="25" t="n">
        <f aca="false">D36-C36</f>
        <v>-31.5</v>
      </c>
    </row>
    <row r="37" customFormat="false" ht="15" hidden="false" customHeight="false" outlineLevel="0" collapsed="false">
      <c r="A37" s="21" t="n">
        <v>46552</v>
      </c>
      <c r="B37" s="21" t="n">
        <f aca="false">A37+6</f>
        <v>46558</v>
      </c>
      <c r="C37" s="24" t="n">
        <f aca="false">Settings!$B$3</f>
        <v>31.5</v>
      </c>
      <c r="D37" s="24" t="n">
        <f aca="false">SUMIFS('Daily log'!$D$2:$D$370,'Daily log'!$A$2:$A$370,"&gt;="&amp;A37,'Daily log'!$A$2:$A$370,"&lt;="&amp;B37)</f>
        <v>0</v>
      </c>
      <c r="E37" s="25" t="n">
        <f aca="false">D37-C37</f>
        <v>-31.5</v>
      </c>
    </row>
    <row r="38" customFormat="false" ht="15" hidden="false" customHeight="false" outlineLevel="0" collapsed="false">
      <c r="A38" s="21" t="n">
        <v>46559</v>
      </c>
      <c r="B38" s="21" t="n">
        <f aca="false">A38+6</f>
        <v>46565</v>
      </c>
      <c r="C38" s="24" t="n">
        <f aca="false">Settings!$B$3</f>
        <v>31.5</v>
      </c>
      <c r="D38" s="24" t="n">
        <f aca="false">SUMIFS('Daily log'!$D$2:$D$370,'Daily log'!$A$2:$A$370,"&gt;="&amp;A38,'Daily log'!$A$2:$A$370,"&lt;="&amp;B38)</f>
        <v>0</v>
      </c>
      <c r="E38" s="25" t="n">
        <f aca="false">D38-C38</f>
        <v>-31.5</v>
      </c>
    </row>
    <row r="39" customFormat="false" ht="15" hidden="false" customHeight="false" outlineLevel="0" collapsed="false">
      <c r="A39" s="21" t="n">
        <v>46566</v>
      </c>
      <c r="B39" s="21" t="n">
        <f aca="false">A39+6</f>
        <v>46572</v>
      </c>
      <c r="C39" s="24" t="n">
        <f aca="false">Settings!$B$3</f>
        <v>31.5</v>
      </c>
      <c r="D39" s="24" t="n">
        <f aca="false">SUMIFS('Daily log'!$D$2:$D$370,'Daily log'!$A$2:$A$370,"&gt;="&amp;A39,'Daily log'!$A$2:$A$370,"&lt;="&amp;B39)</f>
        <v>0</v>
      </c>
      <c r="E39" s="25" t="n">
        <f aca="false">D39-C39</f>
        <v>-31.5</v>
      </c>
    </row>
    <row r="40" customFormat="false" ht="15" hidden="false" customHeight="false" outlineLevel="0" collapsed="false">
      <c r="A40" s="21" t="n">
        <v>46573</v>
      </c>
      <c r="B40" s="21" t="n">
        <f aca="false">A40+6</f>
        <v>46579</v>
      </c>
      <c r="C40" s="24" t="n">
        <f aca="false">Settings!$B$3</f>
        <v>31.5</v>
      </c>
      <c r="D40" s="24" t="n">
        <f aca="false">SUMIFS('Daily log'!$D$2:$D$370,'Daily log'!$A$2:$A$370,"&gt;="&amp;A40,'Daily log'!$A$2:$A$370,"&lt;="&amp;B40)</f>
        <v>0</v>
      </c>
      <c r="E40" s="25" t="n">
        <f aca="false">D40-C40</f>
        <v>-31.5</v>
      </c>
    </row>
    <row r="41" customFormat="false" ht="15" hidden="false" customHeight="false" outlineLevel="0" collapsed="false">
      <c r="A41" s="21" t="n">
        <v>46580</v>
      </c>
      <c r="B41" s="21" t="n">
        <f aca="false">A41+6</f>
        <v>46586</v>
      </c>
      <c r="C41" s="24" t="n">
        <f aca="false">Settings!$B$3</f>
        <v>31.5</v>
      </c>
      <c r="D41" s="24" t="n">
        <f aca="false">SUMIFS('Daily log'!$D$2:$D$370,'Daily log'!$A$2:$A$370,"&gt;="&amp;A41,'Daily log'!$A$2:$A$370,"&lt;="&amp;B41)</f>
        <v>0</v>
      </c>
      <c r="E41" s="25" t="n">
        <f aca="false">D41-C41</f>
        <v>-31.5</v>
      </c>
    </row>
    <row r="42" customFormat="false" ht="15" hidden="false" customHeight="false" outlineLevel="0" collapsed="false">
      <c r="A42" s="21" t="n">
        <v>46587</v>
      </c>
      <c r="B42" s="21" t="n">
        <f aca="false">A42+6</f>
        <v>46593</v>
      </c>
      <c r="C42" s="24" t="n">
        <f aca="false">Settings!$B$3</f>
        <v>31.5</v>
      </c>
      <c r="D42" s="24" t="n">
        <f aca="false">SUMIFS('Daily log'!$D$2:$D$370,'Daily log'!$A$2:$A$370,"&gt;="&amp;A42,'Daily log'!$A$2:$A$370,"&lt;="&amp;B42)</f>
        <v>0</v>
      </c>
      <c r="E42" s="25" t="n">
        <f aca="false">D42-C42</f>
        <v>-31.5</v>
      </c>
    </row>
    <row r="43" customFormat="false" ht="15" hidden="false" customHeight="false" outlineLevel="0" collapsed="false">
      <c r="A43" s="21" t="n">
        <v>46594</v>
      </c>
      <c r="B43" s="21" t="n">
        <f aca="false">A43+6</f>
        <v>46600</v>
      </c>
      <c r="C43" s="24" t="n">
        <f aca="false">Settings!$B$3</f>
        <v>31.5</v>
      </c>
      <c r="D43" s="24" t="n">
        <f aca="false">SUMIFS('Daily log'!$D$2:$D$370,'Daily log'!$A$2:$A$370,"&gt;="&amp;A43,'Daily log'!$A$2:$A$370,"&lt;="&amp;B43)</f>
        <v>0</v>
      </c>
      <c r="E43" s="25" t="n">
        <f aca="false">D43-C43</f>
        <v>-31.5</v>
      </c>
    </row>
    <row r="44" customFormat="false" ht="15" hidden="false" customHeight="false" outlineLevel="0" collapsed="false">
      <c r="A44" s="21" t="n">
        <v>46601</v>
      </c>
      <c r="B44" s="21" t="n">
        <f aca="false">A44+6</f>
        <v>46607</v>
      </c>
      <c r="C44" s="24" t="n">
        <f aca="false">Settings!$B$3</f>
        <v>31.5</v>
      </c>
      <c r="D44" s="24" t="n">
        <f aca="false">SUMIFS('Daily log'!$D$2:$D$370,'Daily log'!$A$2:$A$370,"&gt;="&amp;A44,'Daily log'!$A$2:$A$370,"&lt;="&amp;B44)</f>
        <v>0</v>
      </c>
      <c r="E44" s="25" t="n">
        <f aca="false">D44-C44</f>
        <v>-31.5</v>
      </c>
    </row>
    <row r="45" customFormat="false" ht="15" hidden="false" customHeight="false" outlineLevel="0" collapsed="false">
      <c r="A45" s="21" t="n">
        <v>46608</v>
      </c>
      <c r="B45" s="21" t="n">
        <f aca="false">A45+6</f>
        <v>46614</v>
      </c>
      <c r="C45" s="24" t="n">
        <f aca="false">Settings!$B$3</f>
        <v>31.5</v>
      </c>
      <c r="D45" s="24" t="n">
        <f aca="false">SUMIFS('Daily log'!$D$2:$D$370,'Daily log'!$A$2:$A$370,"&gt;="&amp;A45,'Daily log'!$A$2:$A$370,"&lt;="&amp;B45)</f>
        <v>0</v>
      </c>
      <c r="E45" s="25" t="n">
        <f aca="false">D45-C45</f>
        <v>-31.5</v>
      </c>
    </row>
    <row r="46" customFormat="false" ht="15" hidden="false" customHeight="false" outlineLevel="0" collapsed="false">
      <c r="A46" s="21" t="n">
        <v>46615</v>
      </c>
      <c r="B46" s="21" t="n">
        <f aca="false">A46+6</f>
        <v>46621</v>
      </c>
      <c r="C46" s="24" t="n">
        <f aca="false">Settings!$B$3</f>
        <v>31.5</v>
      </c>
      <c r="D46" s="24" t="n">
        <f aca="false">SUMIFS('Daily log'!$D$2:$D$370,'Daily log'!$A$2:$A$370,"&gt;="&amp;A46,'Daily log'!$A$2:$A$370,"&lt;="&amp;B46)</f>
        <v>0</v>
      </c>
      <c r="E46" s="25" t="n">
        <f aca="false">D46-C46</f>
        <v>-31.5</v>
      </c>
    </row>
    <row r="47" customFormat="false" ht="15" hidden="false" customHeight="false" outlineLevel="0" collapsed="false">
      <c r="A47" s="21" t="n">
        <v>46622</v>
      </c>
      <c r="B47" s="21" t="n">
        <f aca="false">A47+6</f>
        <v>46628</v>
      </c>
      <c r="C47" s="24" t="n">
        <f aca="false">Settings!$B$3</f>
        <v>31.5</v>
      </c>
      <c r="D47" s="24" t="n">
        <f aca="false">SUMIFS('Daily log'!$D$2:$D$370,'Daily log'!$A$2:$A$370,"&gt;="&amp;A47,'Daily log'!$A$2:$A$370,"&lt;="&amp;B47)</f>
        <v>0</v>
      </c>
      <c r="E47" s="25" t="n">
        <f aca="false">D47-C47</f>
        <v>-31.5</v>
      </c>
    </row>
    <row r="48" customFormat="false" ht="15" hidden="false" customHeight="false" outlineLevel="0" collapsed="false">
      <c r="A48" s="21" t="n">
        <v>46629</v>
      </c>
      <c r="B48" s="21" t="n">
        <f aca="false">A48+6</f>
        <v>46635</v>
      </c>
      <c r="C48" s="24" t="n">
        <f aca="false">Settings!$B$3</f>
        <v>31.5</v>
      </c>
      <c r="D48" s="24" t="n">
        <f aca="false">SUMIFS('Daily log'!$D$2:$D$370,'Daily log'!$A$2:$A$370,"&gt;="&amp;A48,'Daily log'!$A$2:$A$370,"&lt;="&amp;B48)</f>
        <v>0</v>
      </c>
      <c r="E48" s="25" t="n">
        <f aca="false">D48-C48</f>
        <v>-31.5</v>
      </c>
    </row>
    <row r="49" customFormat="false" ht="15" hidden="false" customHeight="false" outlineLevel="0" collapsed="false">
      <c r="A49" s="21" t="n">
        <v>46636</v>
      </c>
      <c r="B49" s="21" t="n">
        <f aca="false">A49+6</f>
        <v>46642</v>
      </c>
      <c r="C49" s="24" t="n">
        <f aca="false">Settings!$B$3</f>
        <v>31.5</v>
      </c>
      <c r="D49" s="24" t="n">
        <f aca="false">SUMIFS('Daily log'!$D$2:$D$370,'Daily log'!$A$2:$A$370,"&gt;="&amp;A49,'Daily log'!$A$2:$A$370,"&lt;="&amp;B49)</f>
        <v>0</v>
      </c>
      <c r="E49" s="25" t="n">
        <f aca="false">D49-C49</f>
        <v>-31.5</v>
      </c>
    </row>
    <row r="50" customFormat="false" ht="15" hidden="false" customHeight="false" outlineLevel="0" collapsed="false">
      <c r="A50" s="21" t="n">
        <v>46643</v>
      </c>
      <c r="B50" s="21" t="n">
        <f aca="false">A50+6</f>
        <v>46649</v>
      </c>
      <c r="C50" s="24" t="n">
        <f aca="false">Settings!$B$3</f>
        <v>31.5</v>
      </c>
      <c r="D50" s="24" t="n">
        <f aca="false">SUMIFS('Daily log'!$D$2:$D$370,'Daily log'!$A$2:$A$370,"&gt;="&amp;A50,'Daily log'!$A$2:$A$370,"&lt;="&amp;B50)</f>
        <v>0</v>
      </c>
      <c r="E50" s="25" t="n">
        <f aca="false">D50-C50</f>
        <v>-31.5</v>
      </c>
    </row>
    <row r="51" customFormat="false" ht="15" hidden="false" customHeight="false" outlineLevel="0" collapsed="false">
      <c r="A51" s="21" t="n">
        <v>46650</v>
      </c>
      <c r="B51" s="21" t="n">
        <f aca="false">A51+6</f>
        <v>46656</v>
      </c>
      <c r="C51" s="24" t="n">
        <f aca="false">Settings!$B$3</f>
        <v>31.5</v>
      </c>
      <c r="D51" s="24" t="n">
        <f aca="false">SUMIFS('Daily log'!$D$2:$D$370,'Daily log'!$A$2:$A$370,"&gt;="&amp;A51,'Daily log'!$A$2:$A$370,"&lt;="&amp;B51)</f>
        <v>0</v>
      </c>
      <c r="E51" s="25" t="n">
        <f aca="false">D51-C51</f>
        <v>-31.5</v>
      </c>
    </row>
    <row r="52" customFormat="false" ht="15" hidden="false" customHeight="false" outlineLevel="0" collapsed="false">
      <c r="A52" s="21" t="n">
        <v>46657</v>
      </c>
      <c r="B52" s="21" t="n">
        <f aca="false">A52+6</f>
        <v>46663</v>
      </c>
      <c r="C52" s="24" t="n">
        <f aca="false">Settings!$B$3</f>
        <v>31.5</v>
      </c>
      <c r="D52" s="24" t="n">
        <f aca="false">SUMIFS('Daily log'!$D$2:$D$370,'Daily log'!$A$2:$A$370,"&gt;="&amp;A52,'Daily log'!$A$2:$A$370,"&lt;="&amp;B52)</f>
        <v>0</v>
      </c>
      <c r="E52" s="25" t="n">
        <f aca="false">D52-C52</f>
        <v>-31.5</v>
      </c>
    </row>
    <row r="53" customFormat="false" ht="15" hidden="false" customHeight="false" outlineLevel="0" collapsed="false">
      <c r="A53" s="21" t="n">
        <v>46664</v>
      </c>
      <c r="B53" s="21" t="n">
        <f aca="false">A53+6</f>
        <v>46670</v>
      </c>
      <c r="C53" s="24" t="n">
        <f aca="false">Settings!$B$3</f>
        <v>31.5</v>
      </c>
      <c r="D53" s="24" t="n">
        <f aca="false">SUMIFS('Daily log'!$D$2:$D$370,'Daily log'!$A$2:$A$370,"&gt;="&amp;A53,'Daily log'!$A$2:$A$370,"&lt;="&amp;B53)</f>
        <v>0</v>
      </c>
      <c r="E53" s="25" t="n">
        <f aca="false">D53-C53</f>
        <v>-31.5</v>
      </c>
    </row>
    <row r="54" customFormat="false" ht="15" hidden="false" customHeight="false" outlineLevel="0" collapsed="false">
      <c r="A54" s="21" t="n">
        <v>46671</v>
      </c>
      <c r="B54" s="21" t="n">
        <f aca="false">A54+6</f>
        <v>46677</v>
      </c>
      <c r="C54" s="24" t="n">
        <f aca="false">Settings!$B$3</f>
        <v>31.5</v>
      </c>
      <c r="D54" s="24" t="n">
        <f aca="false">SUMIFS('Daily log'!$D$2:$D$370,'Daily log'!$A$2:$A$370,"&gt;="&amp;A54,'Daily log'!$A$2:$A$370,"&lt;="&amp;B54)</f>
        <v>0</v>
      </c>
      <c r="E54" s="25" t="n">
        <f aca="false">D54-C54</f>
        <v>-31.5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2026-10-09T16:09:53Z</dcterms:created>
  <dc:creator>openpyxl</dc:creator>
  <dc:description/>
  <dc:language>en-US</dc:language>
  <cp:lastModifiedBy/>
  <dcterms:modified xsi:type="dcterms:W3CDTF">2026-10-09T16:09:53Z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